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PS云同步文件夹\血脂康文件\血脂康英文\information fusion投稿\XZK Date\DPPH IC₅₀\"/>
    </mc:Choice>
  </mc:AlternateContent>
  <xr:revisionPtr revIDLastSave="0" documentId="13_ncr:1_{CEF53E88-915A-42F4-BEB3-CBDC3CFB6937}" xr6:coauthVersionLast="47" xr6:coauthVersionMax="47" xr10:uidLastSave="{00000000-0000-0000-0000-000000000000}"/>
  <bookViews>
    <workbookView xWindow="-109" yWindow="-109" windowWidth="23452" windowHeight="13287" xr2:uid="{00000000-000D-0000-FFFF-FFFF00000000}"/>
  </bookViews>
  <sheets>
    <sheet name="IC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0" i="1" l="1"/>
  <c r="R120" i="1" s="1"/>
  <c r="N120" i="1"/>
  <c r="E120" i="1"/>
  <c r="F120" i="1" s="1"/>
  <c r="B120" i="1"/>
  <c r="Q119" i="1"/>
  <c r="R119" i="1" s="1"/>
  <c r="N119" i="1"/>
  <c r="E119" i="1"/>
  <c r="F119" i="1" s="1"/>
  <c r="B119" i="1"/>
  <c r="Q118" i="1"/>
  <c r="R118" i="1" s="1"/>
  <c r="N118" i="1"/>
  <c r="E118" i="1"/>
  <c r="F118" i="1" s="1"/>
  <c r="B118" i="1"/>
  <c r="Q117" i="1"/>
  <c r="R117" i="1" s="1"/>
  <c r="N117" i="1"/>
  <c r="E117" i="1"/>
  <c r="F117" i="1" s="1"/>
  <c r="B117" i="1"/>
  <c r="Q116" i="1"/>
  <c r="R116" i="1" s="1"/>
  <c r="N116" i="1"/>
  <c r="E116" i="1"/>
  <c r="F116" i="1" s="1"/>
  <c r="B116" i="1"/>
  <c r="Q115" i="1"/>
  <c r="R115" i="1" s="1"/>
  <c r="N115" i="1"/>
  <c r="E115" i="1"/>
  <c r="F115" i="1" s="1"/>
  <c r="B115" i="1"/>
  <c r="Q112" i="1"/>
  <c r="R112" i="1" s="1"/>
  <c r="N112" i="1"/>
  <c r="E112" i="1"/>
  <c r="F112" i="1" s="1"/>
  <c r="B112" i="1"/>
  <c r="Q111" i="1"/>
  <c r="R111" i="1" s="1"/>
  <c r="N111" i="1"/>
  <c r="E111" i="1"/>
  <c r="F111" i="1" s="1"/>
  <c r="B111" i="1"/>
  <c r="Q110" i="1"/>
  <c r="R110" i="1" s="1"/>
  <c r="N110" i="1"/>
  <c r="E110" i="1"/>
  <c r="F110" i="1" s="1"/>
  <c r="B110" i="1"/>
  <c r="Q109" i="1"/>
  <c r="R109" i="1" s="1"/>
  <c r="N109" i="1"/>
  <c r="E109" i="1"/>
  <c r="F109" i="1" s="1"/>
  <c r="B109" i="1"/>
  <c r="Q108" i="1"/>
  <c r="R108" i="1" s="1"/>
  <c r="N108" i="1"/>
  <c r="E108" i="1"/>
  <c r="F108" i="1" s="1"/>
  <c r="B108" i="1"/>
  <c r="Q107" i="1"/>
  <c r="R107" i="1" s="1"/>
  <c r="N107" i="1"/>
  <c r="E107" i="1"/>
  <c r="F107" i="1" s="1"/>
  <c r="B107" i="1"/>
  <c r="Q104" i="1"/>
  <c r="R104" i="1" s="1"/>
  <c r="N104" i="1"/>
  <c r="E104" i="1"/>
  <c r="F104" i="1" s="1"/>
  <c r="B104" i="1"/>
  <c r="Q103" i="1"/>
  <c r="R103" i="1" s="1"/>
  <c r="N103" i="1"/>
  <c r="E103" i="1"/>
  <c r="F103" i="1" s="1"/>
  <c r="B103" i="1"/>
  <c r="Q102" i="1"/>
  <c r="R102" i="1" s="1"/>
  <c r="N102" i="1"/>
  <c r="E102" i="1"/>
  <c r="F102" i="1" s="1"/>
  <c r="B102" i="1"/>
  <c r="Q101" i="1"/>
  <c r="R101" i="1" s="1"/>
  <c r="N101" i="1"/>
  <c r="E101" i="1"/>
  <c r="F101" i="1" s="1"/>
  <c r="B101" i="1"/>
  <c r="Q100" i="1"/>
  <c r="R100" i="1" s="1"/>
  <c r="N100" i="1"/>
  <c r="E100" i="1"/>
  <c r="F100" i="1" s="1"/>
  <c r="B100" i="1"/>
  <c r="Q99" i="1"/>
  <c r="R99" i="1" s="1"/>
  <c r="N99" i="1"/>
  <c r="E99" i="1"/>
  <c r="F99" i="1" s="1"/>
  <c r="B99" i="1"/>
  <c r="Q96" i="1"/>
  <c r="R96" i="1" s="1"/>
  <c r="N96" i="1"/>
  <c r="E96" i="1"/>
  <c r="F96" i="1" s="1"/>
  <c r="B96" i="1"/>
  <c r="Q95" i="1"/>
  <c r="R95" i="1" s="1"/>
  <c r="N95" i="1"/>
  <c r="E95" i="1"/>
  <c r="F95" i="1" s="1"/>
  <c r="B95" i="1"/>
  <c r="Q94" i="1"/>
  <c r="R94" i="1" s="1"/>
  <c r="N94" i="1"/>
  <c r="E94" i="1"/>
  <c r="F94" i="1" s="1"/>
  <c r="B94" i="1"/>
  <c r="Q93" i="1"/>
  <c r="R93" i="1" s="1"/>
  <c r="N93" i="1"/>
  <c r="E93" i="1"/>
  <c r="F93" i="1" s="1"/>
  <c r="B93" i="1"/>
  <c r="Q92" i="1"/>
  <c r="R92" i="1" s="1"/>
  <c r="N92" i="1"/>
  <c r="E92" i="1"/>
  <c r="F92" i="1" s="1"/>
  <c r="B92" i="1"/>
  <c r="Q91" i="1"/>
  <c r="R91" i="1" s="1"/>
  <c r="N91" i="1"/>
  <c r="E91" i="1"/>
  <c r="F91" i="1" s="1"/>
  <c r="B91" i="1"/>
  <c r="Q88" i="1"/>
  <c r="R88" i="1" s="1"/>
  <c r="N88" i="1"/>
  <c r="E88" i="1"/>
  <c r="F88" i="1" s="1"/>
  <c r="B88" i="1"/>
  <c r="Q87" i="1"/>
  <c r="R87" i="1" s="1"/>
  <c r="N87" i="1"/>
  <c r="E87" i="1"/>
  <c r="F87" i="1" s="1"/>
  <c r="B87" i="1"/>
  <c r="Q86" i="1"/>
  <c r="R86" i="1" s="1"/>
  <c r="N86" i="1"/>
  <c r="E86" i="1"/>
  <c r="F86" i="1" s="1"/>
  <c r="B86" i="1"/>
  <c r="Q85" i="1"/>
  <c r="R85" i="1" s="1"/>
  <c r="N85" i="1"/>
  <c r="E85" i="1"/>
  <c r="F85" i="1" s="1"/>
  <c r="B85" i="1"/>
  <c r="Q84" i="1"/>
  <c r="R84" i="1" s="1"/>
  <c r="N84" i="1"/>
  <c r="E84" i="1"/>
  <c r="F84" i="1" s="1"/>
  <c r="B84" i="1"/>
  <c r="Q83" i="1"/>
  <c r="R83" i="1" s="1"/>
  <c r="N83" i="1"/>
  <c r="E83" i="1"/>
  <c r="F83" i="1" s="1"/>
  <c r="B83" i="1"/>
  <c r="Q80" i="1"/>
  <c r="R80" i="1" s="1"/>
  <c r="N80" i="1"/>
  <c r="E80" i="1"/>
  <c r="F80" i="1" s="1"/>
  <c r="B80" i="1"/>
  <c r="Q79" i="1"/>
  <c r="R79" i="1" s="1"/>
  <c r="N79" i="1"/>
  <c r="E79" i="1"/>
  <c r="F79" i="1" s="1"/>
  <c r="B79" i="1"/>
  <c r="Q78" i="1"/>
  <c r="R78" i="1" s="1"/>
  <c r="N78" i="1"/>
  <c r="E78" i="1"/>
  <c r="F78" i="1" s="1"/>
  <c r="B78" i="1"/>
  <c r="Q77" i="1"/>
  <c r="R77" i="1" s="1"/>
  <c r="N77" i="1"/>
  <c r="E77" i="1"/>
  <c r="F77" i="1" s="1"/>
  <c r="B77" i="1"/>
  <c r="Q76" i="1"/>
  <c r="R76" i="1" s="1"/>
  <c r="N76" i="1"/>
  <c r="E76" i="1"/>
  <c r="F76" i="1" s="1"/>
  <c r="B76" i="1"/>
  <c r="Q75" i="1"/>
  <c r="R75" i="1" s="1"/>
  <c r="N75" i="1"/>
  <c r="E75" i="1"/>
  <c r="F75" i="1" s="1"/>
  <c r="B75" i="1"/>
  <c r="Q72" i="1"/>
  <c r="R72" i="1" s="1"/>
  <c r="N72" i="1"/>
  <c r="E72" i="1"/>
  <c r="F72" i="1" s="1"/>
  <c r="B72" i="1"/>
  <c r="Q71" i="1"/>
  <c r="R71" i="1" s="1"/>
  <c r="N71" i="1"/>
  <c r="E71" i="1"/>
  <c r="F71" i="1" s="1"/>
  <c r="B71" i="1"/>
  <c r="Q70" i="1"/>
  <c r="R70" i="1" s="1"/>
  <c r="N70" i="1"/>
  <c r="E70" i="1"/>
  <c r="F70" i="1" s="1"/>
  <c r="B70" i="1"/>
  <c r="Q69" i="1"/>
  <c r="R69" i="1" s="1"/>
  <c r="N69" i="1"/>
  <c r="E69" i="1"/>
  <c r="F69" i="1" s="1"/>
  <c r="B69" i="1"/>
  <c r="Q68" i="1"/>
  <c r="R68" i="1" s="1"/>
  <c r="N68" i="1"/>
  <c r="E68" i="1"/>
  <c r="F68" i="1" s="1"/>
  <c r="B68" i="1"/>
  <c r="Q67" i="1"/>
  <c r="R67" i="1" s="1"/>
  <c r="N67" i="1"/>
  <c r="E67" i="1"/>
  <c r="F67" i="1" s="1"/>
  <c r="B67" i="1"/>
  <c r="Q64" i="1"/>
  <c r="R64" i="1" s="1"/>
  <c r="N64" i="1"/>
  <c r="E64" i="1"/>
  <c r="F64" i="1" s="1"/>
  <c r="B64" i="1"/>
  <c r="Q63" i="1"/>
  <c r="R63" i="1" s="1"/>
  <c r="N63" i="1"/>
  <c r="E63" i="1"/>
  <c r="F63" i="1" s="1"/>
  <c r="B63" i="1"/>
  <c r="Q62" i="1"/>
  <c r="R62" i="1" s="1"/>
  <c r="N62" i="1"/>
  <c r="E62" i="1"/>
  <c r="F62" i="1" s="1"/>
  <c r="B62" i="1"/>
  <c r="Q61" i="1"/>
  <c r="R61" i="1" s="1"/>
  <c r="N61" i="1"/>
  <c r="E61" i="1"/>
  <c r="F61" i="1" s="1"/>
  <c r="B61" i="1"/>
  <c r="Q60" i="1"/>
  <c r="R60" i="1" s="1"/>
  <c r="N60" i="1"/>
  <c r="E60" i="1"/>
  <c r="F60" i="1" s="1"/>
  <c r="B60" i="1"/>
  <c r="Q59" i="1"/>
  <c r="R59" i="1" s="1"/>
  <c r="N59" i="1"/>
  <c r="E59" i="1"/>
  <c r="F59" i="1" s="1"/>
  <c r="B59" i="1"/>
  <c r="Q56" i="1"/>
  <c r="R56" i="1" s="1"/>
  <c r="N56" i="1"/>
  <c r="E56" i="1"/>
  <c r="F56" i="1" s="1"/>
  <c r="B56" i="1"/>
  <c r="Q55" i="1"/>
  <c r="R55" i="1" s="1"/>
  <c r="N55" i="1"/>
  <c r="E55" i="1"/>
  <c r="F55" i="1" s="1"/>
  <c r="B55" i="1"/>
  <c r="Q54" i="1"/>
  <c r="R54" i="1" s="1"/>
  <c r="N54" i="1"/>
  <c r="E54" i="1"/>
  <c r="F54" i="1" s="1"/>
  <c r="B54" i="1"/>
  <c r="Q53" i="1"/>
  <c r="R53" i="1" s="1"/>
  <c r="N53" i="1"/>
  <c r="E53" i="1"/>
  <c r="F53" i="1" s="1"/>
  <c r="B53" i="1"/>
  <c r="Q52" i="1"/>
  <c r="R52" i="1" s="1"/>
  <c r="N52" i="1"/>
  <c r="E52" i="1"/>
  <c r="F52" i="1" s="1"/>
  <c r="B52" i="1"/>
  <c r="Q51" i="1"/>
  <c r="R51" i="1" s="1"/>
  <c r="N51" i="1"/>
  <c r="E51" i="1"/>
  <c r="F51" i="1" s="1"/>
  <c r="B51" i="1"/>
  <c r="Q48" i="1"/>
  <c r="R48" i="1" s="1"/>
  <c r="N48" i="1"/>
  <c r="E48" i="1"/>
  <c r="F48" i="1" s="1"/>
  <c r="B48" i="1"/>
  <c r="Q47" i="1"/>
  <c r="R47" i="1" s="1"/>
  <c r="N47" i="1"/>
  <c r="E47" i="1"/>
  <c r="F47" i="1" s="1"/>
  <c r="B47" i="1"/>
  <c r="Q46" i="1"/>
  <c r="R46" i="1" s="1"/>
  <c r="N46" i="1"/>
  <c r="E46" i="1"/>
  <c r="F46" i="1" s="1"/>
  <c r="B46" i="1"/>
  <c r="Q45" i="1"/>
  <c r="R45" i="1" s="1"/>
  <c r="N45" i="1"/>
  <c r="E45" i="1"/>
  <c r="F45" i="1" s="1"/>
  <c r="B45" i="1"/>
  <c r="Q44" i="1"/>
  <c r="R44" i="1" s="1"/>
  <c r="N44" i="1"/>
  <c r="E44" i="1"/>
  <c r="F44" i="1" s="1"/>
  <c r="B44" i="1"/>
  <c r="Q43" i="1"/>
  <c r="R43" i="1" s="1"/>
  <c r="N43" i="1"/>
  <c r="E43" i="1"/>
  <c r="F43" i="1" s="1"/>
  <c r="B43" i="1"/>
  <c r="Q40" i="1"/>
  <c r="R40" i="1" s="1"/>
  <c r="N40" i="1"/>
  <c r="E40" i="1"/>
  <c r="F40" i="1" s="1"/>
  <c r="B40" i="1"/>
  <c r="Q39" i="1"/>
  <c r="R39" i="1" s="1"/>
  <c r="N39" i="1"/>
  <c r="E39" i="1"/>
  <c r="F39" i="1" s="1"/>
  <c r="B39" i="1"/>
  <c r="Q38" i="1"/>
  <c r="R38" i="1" s="1"/>
  <c r="N38" i="1"/>
  <c r="E38" i="1"/>
  <c r="F38" i="1" s="1"/>
  <c r="B38" i="1"/>
  <c r="Q37" i="1"/>
  <c r="R37" i="1" s="1"/>
  <c r="N37" i="1"/>
  <c r="E37" i="1"/>
  <c r="F37" i="1" s="1"/>
  <c r="B37" i="1"/>
  <c r="Q36" i="1"/>
  <c r="R36" i="1" s="1"/>
  <c r="N36" i="1"/>
  <c r="E36" i="1"/>
  <c r="F36" i="1" s="1"/>
  <c r="B36" i="1"/>
  <c r="Q35" i="1"/>
  <c r="R35" i="1" s="1"/>
  <c r="N35" i="1"/>
  <c r="E35" i="1"/>
  <c r="F35" i="1" s="1"/>
  <c r="B35" i="1"/>
  <c r="Q32" i="1"/>
  <c r="R32" i="1" s="1"/>
  <c r="N32" i="1"/>
  <c r="E32" i="1"/>
  <c r="F32" i="1" s="1"/>
  <c r="B32" i="1"/>
  <c r="Q31" i="1"/>
  <c r="R31" i="1" s="1"/>
  <c r="N31" i="1"/>
  <c r="E31" i="1"/>
  <c r="F31" i="1" s="1"/>
  <c r="B31" i="1"/>
  <c r="Q30" i="1"/>
  <c r="R30" i="1" s="1"/>
  <c r="N30" i="1"/>
  <c r="E30" i="1"/>
  <c r="F30" i="1" s="1"/>
  <c r="B30" i="1"/>
  <c r="Q29" i="1"/>
  <c r="R29" i="1" s="1"/>
  <c r="N29" i="1"/>
  <c r="E29" i="1"/>
  <c r="F29" i="1" s="1"/>
  <c r="B29" i="1"/>
  <c r="Q28" i="1"/>
  <c r="R28" i="1" s="1"/>
  <c r="N28" i="1"/>
  <c r="E28" i="1"/>
  <c r="F28" i="1" s="1"/>
  <c r="B28" i="1"/>
  <c r="Q27" i="1"/>
  <c r="R27" i="1" s="1"/>
  <c r="N27" i="1"/>
  <c r="E27" i="1"/>
  <c r="F27" i="1" s="1"/>
  <c r="B27" i="1"/>
  <c r="Q24" i="1"/>
  <c r="R24" i="1" s="1"/>
  <c r="N24" i="1"/>
  <c r="E24" i="1"/>
  <c r="F24" i="1" s="1"/>
  <c r="B24" i="1"/>
  <c r="Q23" i="1"/>
  <c r="R23" i="1" s="1"/>
  <c r="N23" i="1"/>
  <c r="E23" i="1"/>
  <c r="F23" i="1" s="1"/>
  <c r="B23" i="1"/>
  <c r="Q22" i="1"/>
  <c r="R22" i="1" s="1"/>
  <c r="N22" i="1"/>
  <c r="E22" i="1"/>
  <c r="F22" i="1" s="1"/>
  <c r="B22" i="1"/>
  <c r="Q21" i="1"/>
  <c r="R21" i="1" s="1"/>
  <c r="N21" i="1"/>
  <c r="E21" i="1"/>
  <c r="F21" i="1" s="1"/>
  <c r="B21" i="1"/>
  <c r="Q20" i="1"/>
  <c r="R20" i="1" s="1"/>
  <c r="N20" i="1"/>
  <c r="E20" i="1"/>
  <c r="F20" i="1" s="1"/>
  <c r="B20" i="1"/>
  <c r="Q19" i="1"/>
  <c r="R19" i="1" s="1"/>
  <c r="N19" i="1"/>
  <c r="E19" i="1"/>
  <c r="F19" i="1" s="1"/>
  <c r="B19" i="1"/>
  <c r="Q16" i="1"/>
  <c r="R16" i="1" s="1"/>
  <c r="N16" i="1"/>
  <c r="E16" i="1"/>
  <c r="F16" i="1" s="1"/>
  <c r="B16" i="1"/>
  <c r="Q15" i="1"/>
  <c r="R15" i="1" s="1"/>
  <c r="N15" i="1"/>
  <c r="E15" i="1"/>
  <c r="F15" i="1" s="1"/>
  <c r="B15" i="1"/>
  <c r="Q14" i="1"/>
  <c r="R14" i="1" s="1"/>
  <c r="N14" i="1"/>
  <c r="E14" i="1"/>
  <c r="F14" i="1" s="1"/>
  <c r="B14" i="1"/>
  <c r="Q13" i="1"/>
  <c r="R13" i="1" s="1"/>
  <c r="N13" i="1"/>
  <c r="E13" i="1"/>
  <c r="F13" i="1" s="1"/>
  <c r="B13" i="1"/>
  <c r="Q12" i="1"/>
  <c r="R12" i="1" s="1"/>
  <c r="N12" i="1"/>
  <c r="E12" i="1"/>
  <c r="F12" i="1" s="1"/>
  <c r="B12" i="1"/>
  <c r="Q11" i="1"/>
  <c r="R11" i="1" s="1"/>
  <c r="N11" i="1"/>
  <c r="E11" i="1"/>
  <c r="F11" i="1" s="1"/>
  <c r="B11" i="1"/>
  <c r="Q8" i="1"/>
  <c r="R8" i="1" s="1"/>
  <c r="N8" i="1"/>
  <c r="E8" i="1"/>
  <c r="F8" i="1" s="1"/>
  <c r="B8" i="1"/>
  <c r="Q7" i="1"/>
  <c r="R7" i="1" s="1"/>
  <c r="N7" i="1"/>
  <c r="E7" i="1"/>
  <c r="F7" i="1" s="1"/>
  <c r="B7" i="1"/>
  <c r="Q6" i="1"/>
  <c r="R6" i="1" s="1"/>
  <c r="N6" i="1"/>
  <c r="E6" i="1"/>
  <c r="F6" i="1" s="1"/>
  <c r="B6" i="1"/>
  <c r="Q5" i="1"/>
  <c r="R5" i="1" s="1"/>
  <c r="N5" i="1"/>
  <c r="E5" i="1"/>
  <c r="F5" i="1" s="1"/>
  <c r="B5" i="1"/>
  <c r="Q4" i="1"/>
  <c r="R4" i="1" s="1"/>
  <c r="N4" i="1"/>
  <c r="E4" i="1"/>
  <c r="F4" i="1" s="1"/>
  <c r="B4" i="1"/>
  <c r="Q3" i="1"/>
  <c r="R3" i="1" s="1"/>
  <c r="N3" i="1"/>
  <c r="E3" i="1"/>
  <c r="F3" i="1" s="1"/>
  <c r="B3" i="1"/>
</calcChain>
</file>

<file path=xl/sharedStrings.xml><?xml version="1.0" encoding="utf-8"?>
<sst xmlns="http://schemas.openxmlformats.org/spreadsheetml/2006/main" count="211" uniqueCount="41">
  <si>
    <t xml:space="preserve">S1               </t>
  </si>
  <si>
    <t>As</t>
  </si>
  <si>
    <t>As</t>
  </si>
  <si>
    <t>Ab</t>
  </si>
  <si>
    <t>Ab</t>
  </si>
  <si>
    <t>S4</t>
  </si>
  <si>
    <t>S5</t>
  </si>
  <si>
    <t>S7</t>
  </si>
  <si>
    <t>S9</t>
  </si>
  <si>
    <t>S3</t>
  </si>
  <si>
    <t>S10</t>
  </si>
  <si>
    <t>S11</t>
  </si>
  <si>
    <t>S12</t>
  </si>
  <si>
    <t>A0</t>
  </si>
  <si>
    <t>A0</t>
  </si>
  <si>
    <t>S19</t>
  </si>
  <si>
    <t>S6</t>
  </si>
  <si>
    <t>S2</t>
  </si>
  <si>
    <t>S8</t>
  </si>
  <si>
    <t>S16</t>
  </si>
  <si>
    <t>S17</t>
  </si>
  <si>
    <t>S20</t>
  </si>
  <si>
    <t>S13</t>
  </si>
  <si>
    <t>S14</t>
  </si>
  <si>
    <t>S22</t>
  </si>
  <si>
    <t>S23</t>
  </si>
  <si>
    <t>S24</t>
  </si>
  <si>
    <t>S25</t>
  </si>
  <si>
    <t>S21</t>
  </si>
  <si>
    <t>S26</t>
  </si>
  <si>
    <t>S27</t>
  </si>
  <si>
    <t>S28</t>
  </si>
  <si>
    <t>S29</t>
  </si>
  <si>
    <t>S30</t>
  </si>
  <si>
    <t>S15</t>
  </si>
  <si>
    <t>S18</t>
  </si>
  <si>
    <t xml:space="preserve"> </t>
  </si>
  <si>
    <t>RS</t>
  </si>
  <si>
    <t>RS</t>
    <phoneticPr fontId="3" type="noConversion"/>
  </si>
  <si>
    <t>c（mg/ml）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</si>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</sst>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%"/>
  </numFmts>
  <fonts count="4" x14ac:knownFonts="1">
    <font>
      <sz val="11"/>
      <name val="等线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>
      <alignment vertical="top"/>
      <protection locked="0"/>
    </xf>
  </cellStyleXfs>
  <cellXfs count="6">
    <xf numFmtId="0" fontId="0" fillId="0" borderId="0" xfId="0">
      <alignment vertical="center"/>
    </xf>
    <xf numFmtId="176" fontId="1" fillId="0" borderId="0" xfId="0" applyNumberFormat="1" applyFont="1" applyAlignment="1"/>
    <xf numFmtId="2" fontId="1" fillId="0" borderId="0" xfId="0" applyNumberFormat="1" applyFont="1" applyAlignment="1"/>
    <xf numFmtId="177" fontId="1" fillId="0" borderId="0" xfId="0" applyNumberFormat="1" applyFont="1" applyAlignment="1"/>
    <xf numFmtId="176" fontId="1" fillId="0" borderId="0" xfId="1" applyNumberFormat="1" applyFont="1" applyAlignment="1" applyProtection="1"/>
    <xf numFmtId="177" fontId="1" fillId="0" borderId="0" xfId="1" applyNumberFormat="1" applyFont="1" applyAlignment="1" applyProtection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'IC50'!$F$2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78346206855523"/>
                  <c:y val="-0.34255619902561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'IC50'!$B$3:$B$8</c:f>
              <c:numCache>
                <c:formatCode>0.00</c:formatCode>
                <c:ptCount val="6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</c:numCache>
            </c:numRef>
          </c:xVal>
          <c:yVal>
            <c:numRef>
              <c:f>'IC50'!$F$3:$F$8</c:f>
              <c:numCache>
                <c:formatCode>0.0000_);[Red]\(0.0000\)</c:formatCode>
                <c:ptCount val="6"/>
                <c:pt idx="0">
                  <c:v>0.39682539682539686</c:v>
                </c:pt>
                <c:pt idx="1">
                  <c:v>0.40692640692640691</c:v>
                </c:pt>
                <c:pt idx="2">
                  <c:v>0.44444444444444442</c:v>
                </c:pt>
                <c:pt idx="3">
                  <c:v>0.49206349206349209</c:v>
                </c:pt>
                <c:pt idx="4">
                  <c:v>0.52236652236652237</c:v>
                </c:pt>
                <c:pt idx="5">
                  <c:v>0.5670995670995671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F4-460B-8A28-1D61EA13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457823"/>
        <c:axId val="661458303"/>
      </c:scatterChart>
      <c:valAx>
        <c:axId val="66145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458303"/>
        <c:crosses val="autoZero"/>
        <c:crossBetween val="midCat"/>
      </c:valAx>
      <c:valAx>
        <c:axId val="66145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45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'IC50'!$F$10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914393002671955"/>
                  <c:y val="-0.32983154440734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'IC50'!$B$11:$B$16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'IC50'!$F$11:$F$16</c:f>
              <c:numCache>
                <c:formatCode>0.0000_);[Red]\(0.0000\)</c:formatCode>
                <c:ptCount val="6"/>
                <c:pt idx="0">
                  <c:v>0.12430939226519333</c:v>
                </c:pt>
                <c:pt idx="1">
                  <c:v>0.23756906077348061</c:v>
                </c:pt>
                <c:pt idx="2">
                  <c:v>0.26657458563535907</c:v>
                </c:pt>
                <c:pt idx="3">
                  <c:v>0.34668508287292821</c:v>
                </c:pt>
                <c:pt idx="4">
                  <c:v>0.41850828729281764</c:v>
                </c:pt>
                <c:pt idx="5">
                  <c:v>0.50138121546961334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99-435F-95AF-3318BFC99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91855"/>
        <c:axId val="677192335"/>
      </c:scatterChart>
      <c:valAx>
        <c:axId val="67719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7192335"/>
        <c:crosses val="autoZero"/>
        <c:crossBetween val="midCat"/>
      </c:valAx>
      <c:valAx>
        <c:axId val="6771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7191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'IC50'!$R$10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4694283525026784"/>
                  <c:y val="-0.267090724631197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0069909540093E-2"/>
                  <c:y val="-0.27460163636520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'IC50'!$N$11:$N$16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'IC50'!$R$11:$R$16</c:f>
              <c:numCache>
                <c:formatCode>0.0000_);[Red]\(0.0000\)</c:formatCode>
                <c:ptCount val="6"/>
                <c:pt idx="0">
                  <c:v>0.2589641434262947</c:v>
                </c:pt>
                <c:pt idx="1">
                  <c:v>0.32403718459495356</c:v>
                </c:pt>
                <c:pt idx="2">
                  <c:v>0.42762284196547151</c:v>
                </c:pt>
                <c:pt idx="3">
                  <c:v>0.51660026560424965</c:v>
                </c:pt>
                <c:pt idx="4">
                  <c:v>0.60557768924302791</c:v>
                </c:pt>
                <c:pt idx="5">
                  <c:v>0.67065073041168655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20-4F6D-9B08-0502D3CE2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44223"/>
        <c:axId val="524543743"/>
      </c:scatterChart>
      <c:valAx>
        <c:axId val="52454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543743"/>
        <c:crosses val="autoZero"/>
        <c:crossBetween val="midCat"/>
      </c:valAx>
      <c:valAx>
        <c:axId val="5245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54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'IC50'!$R$18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648123122756862"/>
                  <c:y val="-0.343416688212296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'IC50'!$N$19:$N$24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'IC50'!$R$19:$R$24</c:f>
              <c:numCache>
                <c:formatCode>0.0000_);[Red]\(0.0000\)</c:formatCode>
                <c:ptCount val="6"/>
                <c:pt idx="0">
                  <c:v>0.1404494382022472</c:v>
                </c:pt>
                <c:pt idx="1">
                  <c:v>0.202247191011236</c:v>
                </c:pt>
                <c:pt idx="2">
                  <c:v>0.30337078651685379</c:v>
                </c:pt>
                <c:pt idx="3">
                  <c:v>0.38623595505617969</c:v>
                </c:pt>
                <c:pt idx="4">
                  <c:v>0.48735955056179769</c:v>
                </c:pt>
                <c:pt idx="5">
                  <c:v>0.5589887640449438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3D-4E92-B476-8AB6AA672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495231"/>
        <c:axId val="747490911"/>
      </c:scatterChart>
      <c:valAx>
        <c:axId val="74749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7490911"/>
        <c:crosses val="autoZero"/>
        <c:crossBetween val="midCat"/>
      </c:valAx>
      <c:valAx>
        <c:axId val="7474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749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'IC50'!$F$18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3592997675942308"/>
                  <c:y val="-0.28616886215810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037926145465415E-2"/>
                  <c:y val="-0.233465492339497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'IC50'!$B$19:$B$24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'IC50'!$F$19:$F$24</c:f>
              <c:numCache>
                <c:formatCode>0.0000_);[Red]\(0.0000\)</c:formatCode>
                <c:ptCount val="6"/>
                <c:pt idx="0">
                  <c:v>0.47547169811320755</c:v>
                </c:pt>
                <c:pt idx="1">
                  <c:v>0.49056603773584917</c:v>
                </c:pt>
                <c:pt idx="2">
                  <c:v>0.57861635220125773</c:v>
                </c:pt>
                <c:pt idx="3">
                  <c:v>0.68050314465408812</c:v>
                </c:pt>
                <c:pt idx="4">
                  <c:v>0.72075471698113203</c:v>
                </c:pt>
                <c:pt idx="5">
                  <c:v>0.73459119496855352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84-4FDD-B146-CC4EA99B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07167"/>
        <c:axId val="630907647"/>
      </c:scatterChart>
      <c:valAx>
        <c:axId val="63090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907647"/>
        <c:crosses val="autoZero"/>
        <c:crossBetween val="midCat"/>
      </c:valAx>
      <c:valAx>
        <c:axId val="6309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090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'IC50'!$F$26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496375434532204"/>
                  <c:y val="-0.370419619053596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'IC50'!$B$27:$B$32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'IC50'!$F$27:$F$32</c:f>
              <c:numCache>
                <c:formatCode>0.0000_);[Red]\(0.0000\)</c:formatCode>
                <c:ptCount val="6"/>
                <c:pt idx="0">
                  <c:v>0.16803278688524592</c:v>
                </c:pt>
                <c:pt idx="1">
                  <c:v>0.23087431693989058</c:v>
                </c:pt>
                <c:pt idx="2">
                  <c:v>0.31420765027322406</c:v>
                </c:pt>
                <c:pt idx="3">
                  <c:v>0.4193989071038251</c:v>
                </c:pt>
                <c:pt idx="4">
                  <c:v>0.49180327868852458</c:v>
                </c:pt>
                <c:pt idx="5">
                  <c:v>0.55737704918032782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94-4C68-B5E5-CFBB2FA05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354495"/>
        <c:axId val="609356895"/>
      </c:scatterChart>
      <c:valAx>
        <c:axId val="60935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9356895"/>
        <c:crosses val="autoZero"/>
        <c:crossBetween val="midCat"/>
      </c:valAx>
      <c:valAx>
        <c:axId val="60935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935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'IC50'!$R$34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696477264448447"/>
                  <c:y val="-0.32729367691970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'IC50'!$N$35:$N$40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'IC50'!$R$35:$R$40</c:f>
              <c:numCache>
                <c:formatCode>0.0000_);[Red]\(0.0000\)</c:formatCode>
                <c:ptCount val="6"/>
                <c:pt idx="0">
                  <c:v>0.25854993160054718</c:v>
                </c:pt>
                <c:pt idx="1">
                  <c:v>0.33105335157318749</c:v>
                </c:pt>
                <c:pt idx="2">
                  <c:v>0.35704514363885087</c:v>
                </c:pt>
                <c:pt idx="3">
                  <c:v>0.42681258549931589</c:v>
                </c:pt>
                <c:pt idx="4">
                  <c:v>0.50889192886456902</c:v>
                </c:pt>
                <c:pt idx="5">
                  <c:v>0.54719562243502051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47-41A1-B075-8EAB94871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25855"/>
        <c:axId val="605027295"/>
      </c:scatterChart>
      <c:valAx>
        <c:axId val="60502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027295"/>
        <c:crosses val="autoZero"/>
        <c:crossBetween val="midCat"/>
      </c:valAx>
      <c:valAx>
        <c:axId val="60502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02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'IC50'!$R$26</c:f>
              <c:strCache>
                <c:ptCount val="1"/>
                <c:pt idx="0">
                  <c:v>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702677210939116"/>
                  <c:y val="-0.36150840993023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'IC50'!$N$27:$N$32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'IC50'!$R$27:$R$32</c:f>
              <c:numCache>
                <c:formatCode>0.0000_);[Red]\(0.0000\)</c:formatCode>
                <c:ptCount val="6"/>
                <c:pt idx="0">
                  <c:v>0.29242819843342038</c:v>
                </c:pt>
                <c:pt idx="1">
                  <c:v>0.35509138381201044</c:v>
                </c:pt>
                <c:pt idx="2">
                  <c:v>0.40992167101827681</c:v>
                </c:pt>
                <c:pt idx="3">
                  <c:v>0.48433420365535251</c:v>
                </c:pt>
                <c:pt idx="4">
                  <c:v>0.55744125326370764</c:v>
                </c:pt>
                <c:pt idx="5">
                  <c:v>0.65143603133159267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C0-42FB-A8E0-641085E6F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495231"/>
        <c:axId val="747490911"/>
      </c:scatterChart>
      <c:valAx>
        <c:axId val="74749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7490911"/>
        <c:crosses val="autoZero"/>
        <c:crossBetween val="midCat"/>
      </c:valAx>
      <c:valAx>
        <c:axId val="7474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749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'IC50'!$F$34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8958242988629"/>
                  <c:y val="-0.391889459371140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'IC50'!$B$35:$B$40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'IC50'!$F$35:$F$40</c:f>
              <c:numCache>
                <c:formatCode>0.0000_);[Red]\(0.0000\)</c:formatCode>
                <c:ptCount val="6"/>
                <c:pt idx="0">
                  <c:v>0.16762177650429799</c:v>
                </c:pt>
                <c:pt idx="1">
                  <c:v>0.24785100286532946</c:v>
                </c:pt>
                <c:pt idx="2">
                  <c:v>0.36246418338108888</c:v>
                </c:pt>
                <c:pt idx="3">
                  <c:v>0.39541547277936961</c:v>
                </c:pt>
                <c:pt idx="4">
                  <c:v>0.45415472779369626</c:v>
                </c:pt>
                <c:pt idx="5">
                  <c:v>0.59885386819484243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02-43A1-AB70-AF14B73A1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73551"/>
        <c:axId val="562374511"/>
      </c:scatterChart>
      <c:valAx>
        <c:axId val="56237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2374511"/>
        <c:crosses val="autoZero"/>
        <c:crossBetween val="midCat"/>
      </c:valAx>
      <c:valAx>
        <c:axId val="5623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237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'IC50'!$R$42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844089555251356"/>
                  <c:y val="-0.3500524165723789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  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'IC50'!$N$43:$N$48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'IC50'!$R$43:$R$48</c:f>
              <c:numCache>
                <c:formatCode>0.0000_);[Red]\(0.0000\)</c:formatCode>
                <c:ptCount val="6"/>
                <c:pt idx="0">
                  <c:v>0.24675324675324672</c:v>
                </c:pt>
                <c:pt idx="1">
                  <c:v>0.31428571428571428</c:v>
                </c:pt>
                <c:pt idx="2">
                  <c:v>0.38961038961038963</c:v>
                </c:pt>
                <c:pt idx="3">
                  <c:v>0.45064935064935074</c:v>
                </c:pt>
                <c:pt idx="4">
                  <c:v>0.54285714285714293</c:v>
                </c:pt>
                <c:pt idx="5">
                  <c:v>0.59740259740259738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D9-4954-A5F4-09F7CB2F8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491391"/>
        <c:axId val="747496671"/>
      </c:scatterChart>
      <c:valAx>
        <c:axId val="74749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7496671"/>
        <c:crosses val="autoZero"/>
        <c:crossBetween val="midCat"/>
      </c:valAx>
      <c:valAx>
        <c:axId val="7474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7491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'IC50'!$F$42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14508124939182"/>
                  <c:y val="-0.32207634102621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'IC50'!$B$43:$B$48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'IC50'!$F$43:$F$48</c:f>
              <c:numCache>
                <c:formatCode>0.0000_);[Red]\(0.0000\)</c:formatCode>
                <c:ptCount val="6"/>
                <c:pt idx="0">
                  <c:v>8.870967741935476E-2</c:v>
                </c:pt>
                <c:pt idx="1">
                  <c:v>0.18225806451612903</c:v>
                </c:pt>
                <c:pt idx="2">
                  <c:v>0.29032258064516137</c:v>
                </c:pt>
                <c:pt idx="3">
                  <c:v>0.41290322580645167</c:v>
                </c:pt>
                <c:pt idx="4">
                  <c:v>0.48064516129032264</c:v>
                </c:pt>
                <c:pt idx="5">
                  <c:v>0.57258064516129026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35-479E-86EB-3B3BD293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89663"/>
        <c:axId val="532490143"/>
      </c:scatterChart>
      <c:valAx>
        <c:axId val="53248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490143"/>
        <c:crosses val="autoZero"/>
        <c:crossBetween val="midCat"/>
      </c:valAx>
      <c:valAx>
        <c:axId val="53249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48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'IC50'!$R$50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910159599656996"/>
                  <c:y val="-0.358938798721080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 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'IC50'!$N$51:$N$56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'IC50'!$R$51:$R$56</c:f>
              <c:numCache>
                <c:formatCode>0.0000_);[Red]\(0.0000\)</c:formatCode>
                <c:ptCount val="6"/>
                <c:pt idx="0">
                  <c:v>0.29885057471264376</c:v>
                </c:pt>
                <c:pt idx="1">
                  <c:v>0.3869731800766284</c:v>
                </c:pt>
                <c:pt idx="2">
                  <c:v>0.57598978288633462</c:v>
                </c:pt>
                <c:pt idx="3">
                  <c:v>0.58237547892720309</c:v>
                </c:pt>
                <c:pt idx="4">
                  <c:v>0.71775223499361429</c:v>
                </c:pt>
                <c:pt idx="5">
                  <c:v>0.74712643678160917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77-45B0-AED0-BD10A7D5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35167"/>
        <c:axId val="651722207"/>
      </c:scatterChart>
      <c:valAx>
        <c:axId val="65173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722207"/>
        <c:crosses val="autoZero"/>
        <c:crossBetween val="midCat"/>
      </c:valAx>
      <c:valAx>
        <c:axId val="6517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73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042825896762905"/>
          <c:y val="0.25335337456124823"/>
          <c:w val="0.78663274606756695"/>
          <c:h val="0.597359286163672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'IC50'!$F$58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9229869630397"/>
                  <c:y val="-0.232093403199776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'IC50'!$B$59:$B$64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'IC50'!$F$59:$F$64</c:f>
              <c:numCache>
                <c:formatCode>0.0000_);[Red]\(0.0000\)</c:formatCode>
                <c:ptCount val="6"/>
                <c:pt idx="0">
                  <c:v>0.43935309973045822</c:v>
                </c:pt>
                <c:pt idx="1">
                  <c:v>0.60242587601078168</c:v>
                </c:pt>
                <c:pt idx="2">
                  <c:v>0.66172506738544468</c:v>
                </c:pt>
                <c:pt idx="3">
                  <c:v>0.71563342318059298</c:v>
                </c:pt>
                <c:pt idx="4">
                  <c:v>0.7560646900269542</c:v>
                </c:pt>
                <c:pt idx="5">
                  <c:v>0.82614555256064692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D3-421F-A474-2D3511B95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24895"/>
        <c:axId val="605024415"/>
      </c:scatterChart>
      <c:valAx>
        <c:axId val="60502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024415"/>
        <c:crosses val="autoZero"/>
        <c:crossBetween val="midCat"/>
      </c:valAx>
      <c:valAx>
        <c:axId val="60502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02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'IC50'!$R$58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129215609670565"/>
                  <c:y val="-0.361134704602004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'IC50'!$N$59:$N$64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'IC50'!$R$59:$R$64</c:f>
              <c:numCache>
                <c:formatCode>0.0000_);[Red]\(0.0000\)</c:formatCode>
                <c:ptCount val="6"/>
                <c:pt idx="0">
                  <c:v>0.37439024390243902</c:v>
                </c:pt>
                <c:pt idx="1">
                  <c:v>0.48048780487804876</c:v>
                </c:pt>
                <c:pt idx="2">
                  <c:v>0.58780487804878034</c:v>
                </c:pt>
                <c:pt idx="3">
                  <c:v>0.70243902439024386</c:v>
                </c:pt>
                <c:pt idx="4">
                  <c:v>0.7219512195121951</c:v>
                </c:pt>
                <c:pt idx="5">
                  <c:v>0.73902439024390243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FB-4949-B194-5C5E31C4C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51039"/>
        <c:axId val="552451519"/>
      </c:scatterChart>
      <c:valAx>
        <c:axId val="55245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451519"/>
        <c:crosses val="autoZero"/>
        <c:crossBetween val="midCat"/>
      </c:valAx>
      <c:valAx>
        <c:axId val="55245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45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'IC50'!$R$66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737358922417195"/>
                  <c:y val="-0.356285517423111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 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'IC50'!$N$67:$N$72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'IC50'!$R$67:$R$72</c:f>
              <c:numCache>
                <c:formatCode>0.0000_);[Red]\(0.0000\)</c:formatCode>
                <c:ptCount val="6"/>
                <c:pt idx="0">
                  <c:v>0.2805194805194805</c:v>
                </c:pt>
                <c:pt idx="1">
                  <c:v>0.38181818181818183</c:v>
                </c:pt>
                <c:pt idx="2">
                  <c:v>0.45714285714285707</c:v>
                </c:pt>
                <c:pt idx="3">
                  <c:v>0.51558441558441559</c:v>
                </c:pt>
                <c:pt idx="4">
                  <c:v>0.59090909090909094</c:v>
                </c:pt>
                <c:pt idx="5">
                  <c:v>0.63116883116883116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13-451F-9807-0F6D95BD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552351"/>
        <c:axId val="661552831"/>
      </c:scatterChart>
      <c:valAx>
        <c:axId val="66155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552831"/>
        <c:crosses val="autoZero"/>
        <c:crossBetween val="midCat"/>
      </c:valAx>
      <c:valAx>
        <c:axId val="66155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55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'IC50'!$F$50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700345144381421"/>
                  <c:y val="-0.335362812283136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'IC50'!$B$51:$B$56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'IC50'!$F$51:$F$55</c:f>
              <c:numCache>
                <c:formatCode>0.0000_);[Red]\(0.0000\)</c:formatCode>
                <c:ptCount val="5"/>
                <c:pt idx="0">
                  <c:v>0.25587467362924277</c:v>
                </c:pt>
                <c:pt idx="1">
                  <c:v>0.2976501305483028</c:v>
                </c:pt>
                <c:pt idx="2">
                  <c:v>0.38642297650130553</c:v>
                </c:pt>
                <c:pt idx="3">
                  <c:v>0.45169712793733696</c:v>
                </c:pt>
                <c:pt idx="4">
                  <c:v>0.52872062663185382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91-4C8B-87D1-908DE940E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255887"/>
        <c:axId val="605025855"/>
      </c:scatterChart>
      <c:valAx>
        <c:axId val="192225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5025855"/>
        <c:crosses val="autoZero"/>
        <c:crossBetween val="midCat"/>
      </c:valAx>
      <c:valAx>
        <c:axId val="60502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225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'IC50'!$R$74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895170445330997"/>
                  <c:y val="-0.44939703285391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'IC50'!$N$75:$N$80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'IC50'!$R$75:$R$80</c:f>
              <c:numCache>
                <c:formatCode>0.0000_);[Red]\(0.0000\)</c:formatCode>
                <c:ptCount val="6"/>
                <c:pt idx="0">
                  <c:v>0.4079822616407982</c:v>
                </c:pt>
                <c:pt idx="1">
                  <c:v>0.52439024390243905</c:v>
                </c:pt>
                <c:pt idx="2">
                  <c:v>0.58093126385809302</c:v>
                </c:pt>
                <c:pt idx="3">
                  <c:v>0.66518847006651882</c:v>
                </c:pt>
                <c:pt idx="4">
                  <c:v>0.67516629711751652</c:v>
                </c:pt>
                <c:pt idx="5">
                  <c:v>0.79490022172949004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9F-4885-BB84-48D19CCCC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82223"/>
        <c:axId val="682780783"/>
      </c:scatterChart>
      <c:valAx>
        <c:axId val="68278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780783"/>
        <c:crosses val="autoZero"/>
        <c:crossBetween val="midCat"/>
      </c:valAx>
      <c:valAx>
        <c:axId val="68278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78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'IC50'!$F$74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37544992365889"/>
                  <c:y val="-0.332902102922430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'IC50'!$B$75:$B$80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'IC50'!$F$75:$F$80</c:f>
              <c:numCache>
                <c:formatCode>0.0000_);[Red]\(0.0000\)</c:formatCode>
                <c:ptCount val="6"/>
                <c:pt idx="0">
                  <c:v>0.32896890343698848</c:v>
                </c:pt>
                <c:pt idx="1">
                  <c:v>0.45990180032733219</c:v>
                </c:pt>
                <c:pt idx="2">
                  <c:v>0.50900163666121112</c:v>
                </c:pt>
                <c:pt idx="3">
                  <c:v>0.64320785597381336</c:v>
                </c:pt>
                <c:pt idx="4">
                  <c:v>0.66775777414075277</c:v>
                </c:pt>
                <c:pt idx="5">
                  <c:v>0.72504091653027825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88-45D5-BBF9-48E35E44F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607967"/>
        <c:axId val="651595967"/>
      </c:scatterChart>
      <c:valAx>
        <c:axId val="65160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595967"/>
        <c:crosses val="autoZero"/>
        <c:crossBetween val="midCat"/>
      </c:valAx>
      <c:valAx>
        <c:axId val="65159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60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367298304557715"/>
          <c:y val="0.3405154123959227"/>
          <c:w val="0.75040271673321091"/>
          <c:h val="0.427362596950813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'IC50'!$F$82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793578079307298"/>
                  <c:y val="-0.30366811903996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'IC50'!$B$83:$B$88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'IC50'!$F$83:$F$88</c:f>
              <c:numCache>
                <c:formatCode>0.0000_);[Red]\(0.0000\)</c:formatCode>
                <c:ptCount val="6"/>
                <c:pt idx="0">
                  <c:v>0.46153846153846145</c:v>
                </c:pt>
                <c:pt idx="1">
                  <c:v>0.52387267904509294</c:v>
                </c:pt>
                <c:pt idx="2">
                  <c:v>0.52122015915119357</c:v>
                </c:pt>
                <c:pt idx="3">
                  <c:v>0.65384615384615385</c:v>
                </c:pt>
                <c:pt idx="4">
                  <c:v>0.72015915119363405</c:v>
                </c:pt>
                <c:pt idx="5">
                  <c:v>0.82493368700265257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4B-4BF0-B031-25A744C2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551839"/>
        <c:axId val="661550911"/>
      </c:scatterChart>
      <c:valAx>
        <c:axId val="62055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550911"/>
        <c:crosses val="autoZero"/>
        <c:crossBetween val="midCat"/>
      </c:valAx>
      <c:valAx>
        <c:axId val="6615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55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'IC50'!$R$82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348694618194685"/>
                  <c:y val="-0.386839935251065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'IC50'!$N$83:$N$88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'IC50'!$R$83:$R$88</c:f>
              <c:numCache>
                <c:formatCode>0.0000_);[Red]\(0.0000\)</c:formatCode>
                <c:ptCount val="6"/>
                <c:pt idx="0">
                  <c:v>0.37642045454545447</c:v>
                </c:pt>
                <c:pt idx="1">
                  <c:v>0.41619318181818188</c:v>
                </c:pt>
                <c:pt idx="2">
                  <c:v>0.54261363636363624</c:v>
                </c:pt>
                <c:pt idx="3">
                  <c:v>0.65625</c:v>
                </c:pt>
                <c:pt idx="4">
                  <c:v>0.67045454545454541</c:v>
                </c:pt>
                <c:pt idx="5">
                  <c:v>0.68892045454545459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E8-40B4-98C8-B3CEAE6BB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63503"/>
        <c:axId val="682756303"/>
      </c:scatterChart>
      <c:valAx>
        <c:axId val="68276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756303"/>
        <c:crosses val="autoZero"/>
        <c:crossBetween val="midCat"/>
      </c:valAx>
      <c:valAx>
        <c:axId val="68275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76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'IC50'!$F$66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086653862876288"/>
                  <c:y val="-0.283316155725895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'IC50'!$B$67:$B$72</c:f>
              <c:numCache>
                <c:formatCode>0.00</c:formatCode>
                <c:ptCount val="6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</c:numCache>
            </c:numRef>
          </c:xVal>
          <c:yVal>
            <c:numRef>
              <c:f>'IC50'!$F$67:$F$72</c:f>
              <c:numCache>
                <c:formatCode>0.0000_);[Red]\(0.0000\)</c:formatCode>
                <c:ptCount val="6"/>
                <c:pt idx="0">
                  <c:v>0.48421052631578942</c:v>
                </c:pt>
                <c:pt idx="1">
                  <c:v>0.56491228070175437</c:v>
                </c:pt>
                <c:pt idx="2">
                  <c:v>0.67251461988304095</c:v>
                </c:pt>
                <c:pt idx="3">
                  <c:v>0.65380116959064316</c:v>
                </c:pt>
                <c:pt idx="4">
                  <c:v>0.69122807017543852</c:v>
                </c:pt>
                <c:pt idx="5">
                  <c:v>0.72631578947368425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14-4196-ADA1-C7B643F84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329663"/>
        <c:axId val="661330143"/>
      </c:scatterChart>
      <c:valAx>
        <c:axId val="66132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330143"/>
        <c:crosses val="autoZero"/>
        <c:crossBetween val="midCat"/>
      </c:valAx>
      <c:valAx>
        <c:axId val="66133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32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7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'IC50'!$R$90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689035500857024"/>
                  <c:y val="-0.344258982454279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'IC50'!$N$91:$N$96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'IC50'!$R$91:$R$96</c:f>
              <c:numCache>
                <c:formatCode>0.0000_);[Red]\(0.0000\)</c:formatCode>
                <c:ptCount val="6"/>
                <c:pt idx="0">
                  <c:v>0.17351598173515981</c:v>
                </c:pt>
                <c:pt idx="1">
                  <c:v>0.24353120243531201</c:v>
                </c:pt>
                <c:pt idx="2">
                  <c:v>0.35768645357686457</c:v>
                </c:pt>
                <c:pt idx="3">
                  <c:v>0.42465753424657537</c:v>
                </c:pt>
                <c:pt idx="4">
                  <c:v>0.52359208523592082</c:v>
                </c:pt>
                <c:pt idx="5">
                  <c:v>0.58143074581430743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EC-4465-81C9-348644A40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50063"/>
        <c:axId val="682768303"/>
      </c:scatterChart>
      <c:valAx>
        <c:axId val="68275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768303"/>
        <c:crosses val="autoZero"/>
        <c:crossBetween val="midCat"/>
      </c:valAx>
      <c:valAx>
        <c:axId val="6827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75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'IC50'!$F$98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316563367200826"/>
                  <c:y val="-0.352688326747369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'IC50'!$B$99:$B$104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'IC50'!$F$99:$F$104</c:f>
              <c:numCache>
                <c:formatCode>0.0000_);[Red]\(0.0000\)</c:formatCode>
                <c:ptCount val="6"/>
                <c:pt idx="0">
                  <c:v>0.20995145631067968</c:v>
                </c:pt>
                <c:pt idx="1">
                  <c:v>0.32160194174757273</c:v>
                </c:pt>
                <c:pt idx="2">
                  <c:v>0.41383495145631066</c:v>
                </c:pt>
                <c:pt idx="3">
                  <c:v>0.45024271844660191</c:v>
                </c:pt>
                <c:pt idx="4">
                  <c:v>0.52427184466019416</c:v>
                </c:pt>
                <c:pt idx="5">
                  <c:v>0.58373786407766981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9C-47AF-ADE0-90F611BD7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89871"/>
        <c:axId val="650090351"/>
      </c:scatterChart>
      <c:valAx>
        <c:axId val="65008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0090351"/>
        <c:crosses val="autoZero"/>
        <c:crossBetween val="midCat"/>
      </c:valAx>
      <c:valAx>
        <c:axId val="65009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008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'IC50'!$R$98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11241227190698"/>
                  <c:y val="-0.35958753381041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'IC50'!$N$99:$N$104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'IC50'!$R$99:$R$104</c:f>
              <c:numCache>
                <c:formatCode>0.0000_);[Red]\(0.0000\)</c:formatCode>
                <c:ptCount val="6"/>
                <c:pt idx="0">
                  <c:v>0.15089163237311387</c:v>
                </c:pt>
                <c:pt idx="1">
                  <c:v>0.23593964334705086</c:v>
                </c:pt>
                <c:pt idx="2">
                  <c:v>0.31001371742112482</c:v>
                </c:pt>
                <c:pt idx="3">
                  <c:v>0.4046639231824416</c:v>
                </c:pt>
                <c:pt idx="4">
                  <c:v>0.51714677640603568</c:v>
                </c:pt>
                <c:pt idx="5">
                  <c:v>0.57475994513031536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98-47AA-8FE1-DF9FE7425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759647"/>
        <c:axId val="651761087"/>
      </c:scatterChart>
      <c:valAx>
        <c:axId val="65175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761087"/>
        <c:crosses val="autoZero"/>
        <c:crossBetween val="midCat"/>
      </c:valAx>
      <c:valAx>
        <c:axId val="65176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75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'IC50'!$F$106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987734853661362"/>
                  <c:y val="-0.33559203053280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'IC50'!$B$107:$B$112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'IC50'!$F$107:$F$112</c:f>
              <c:numCache>
                <c:formatCode>0.0000_);[Red]\(0.0000\)</c:formatCode>
                <c:ptCount val="6"/>
                <c:pt idx="0">
                  <c:v>0.14285714285714279</c:v>
                </c:pt>
                <c:pt idx="1">
                  <c:v>0.24646781789638939</c:v>
                </c:pt>
                <c:pt idx="2">
                  <c:v>0.33594976452119307</c:v>
                </c:pt>
                <c:pt idx="3">
                  <c:v>0.42386185243328101</c:v>
                </c:pt>
                <c:pt idx="4">
                  <c:v>0.56357927786499218</c:v>
                </c:pt>
                <c:pt idx="5">
                  <c:v>0.59968602825745676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BC-4888-B091-421C4AD06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459679"/>
        <c:axId val="552458719"/>
      </c:scatterChart>
      <c:valAx>
        <c:axId val="55245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458719"/>
        <c:crosses val="autoZero"/>
        <c:crossBetween val="midCat"/>
      </c:valAx>
      <c:valAx>
        <c:axId val="5524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245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'IC50'!$R$106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722876377458949"/>
                  <c:y val="-0.364887670635743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'IC50'!$N$107:$N$112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'IC50'!$R$107:$R$112</c:f>
              <c:numCache>
                <c:formatCode>0.0000_);[Red]\(0.0000\)</c:formatCode>
                <c:ptCount val="6"/>
                <c:pt idx="0">
                  <c:v>0.36425648021828094</c:v>
                </c:pt>
                <c:pt idx="1">
                  <c:v>0.50341064120054568</c:v>
                </c:pt>
                <c:pt idx="2">
                  <c:v>0.59072305593451568</c:v>
                </c:pt>
                <c:pt idx="3">
                  <c:v>0.64256480218281031</c:v>
                </c:pt>
                <c:pt idx="4">
                  <c:v>0.70668485675306969</c:v>
                </c:pt>
                <c:pt idx="5">
                  <c:v>0.75579809004092768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92-4479-8380-A2419DFB4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978751"/>
        <c:axId val="551269871"/>
      </c:scatterChart>
      <c:valAx>
        <c:axId val="191997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269871"/>
        <c:crosses val="autoZero"/>
        <c:crossBetween val="midCat"/>
      </c:valAx>
      <c:valAx>
        <c:axId val="55126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97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'IC50'!$F$114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4015713400242"/>
                  <c:y val="-0.374459849456820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'IC50'!$B$115:$B$120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'IC50'!$F$115:$F$120</c:f>
              <c:numCache>
                <c:formatCode>0.0000_);[Red]\(0.0000\)</c:formatCode>
                <c:ptCount val="6"/>
                <c:pt idx="0">
                  <c:v>0.44627192982456143</c:v>
                </c:pt>
                <c:pt idx="1">
                  <c:v>0.52412280701754388</c:v>
                </c:pt>
                <c:pt idx="2">
                  <c:v>0.57236842105263164</c:v>
                </c:pt>
                <c:pt idx="3">
                  <c:v>0.63925438596491224</c:v>
                </c:pt>
                <c:pt idx="4">
                  <c:v>0.69078947368421051</c:v>
                </c:pt>
                <c:pt idx="5">
                  <c:v>0.73026315789473684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7C-4AE0-8D9A-30295F0B5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256367"/>
        <c:axId val="1919979231"/>
      </c:scatterChart>
      <c:valAx>
        <c:axId val="192225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979231"/>
        <c:crosses val="autoZero"/>
        <c:crossBetween val="midCat"/>
      </c:valAx>
      <c:valAx>
        <c:axId val="191997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225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'IC50'!$R$114</c:f>
              <c:strCache>
                <c:ptCount val="1"/>
                <c:pt idx="0">
                  <c:v>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853132431319052"/>
                  <c:y val="-0.341363880943615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'IC50'!$N$115:$N$120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'IC50'!$R$115:$R$120</c:f>
              <c:numCache>
                <c:formatCode>0.0000_);[Red]\(0.0000\)</c:formatCode>
                <c:ptCount val="6"/>
                <c:pt idx="0">
                  <c:v>0.47278911564625858</c:v>
                </c:pt>
                <c:pt idx="1">
                  <c:v>0.56462585034013613</c:v>
                </c:pt>
                <c:pt idx="2">
                  <c:v>0.60544217687074819</c:v>
                </c:pt>
                <c:pt idx="3">
                  <c:v>0.69501133786848068</c:v>
                </c:pt>
                <c:pt idx="4">
                  <c:v>0.68480725623582761</c:v>
                </c:pt>
                <c:pt idx="5">
                  <c:v>0.77210884353741494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B0-4232-BD6E-FF1857A6D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68911"/>
        <c:axId val="551270351"/>
      </c:scatterChart>
      <c:valAx>
        <c:axId val="5512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270351"/>
        <c:crosses val="autoZero"/>
        <c:crossBetween val="midCat"/>
      </c:valAx>
      <c:valAx>
        <c:axId val="5512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26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'IC50'!$F$90</c:f>
              <c:strCache>
                <c:ptCount val="1"/>
                <c:pt idx="0">
                  <c:v>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510318591658609"/>
                  <c:y val="-0.34926464462954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'IC50'!$B$91:$B$96</c:f>
              <c:numCache>
                <c:formatCode>0.00</c:formatCode>
                <c:ptCount val="6"/>
                <c:pt idx="0">
                  <c:v>4</c:v>
                </c:pt>
                <c:pt idx="1">
                  <c:v>4.5</c:v>
                </c:pt>
                <c:pt idx="2">
                  <c:v>5</c:v>
                </c:pt>
                <c:pt idx="3">
                  <c:v>5.5</c:v>
                </c:pt>
                <c:pt idx="4">
                  <c:v>6</c:v>
                </c:pt>
                <c:pt idx="5">
                  <c:v>6.5</c:v>
                </c:pt>
              </c:numCache>
            </c:numRef>
          </c:xVal>
          <c:yVal>
            <c:numRef>
              <c:f>'IC50'!$F$91:$F$96</c:f>
              <c:numCache>
                <c:formatCode>0.0000_);[Red]\(0.0000\)</c:formatCode>
                <c:ptCount val="6"/>
                <c:pt idx="0">
                  <c:v>0.47424892703862664</c:v>
                </c:pt>
                <c:pt idx="1">
                  <c:v>0.51180257510729621</c:v>
                </c:pt>
                <c:pt idx="2">
                  <c:v>0.53218884120171683</c:v>
                </c:pt>
                <c:pt idx="3">
                  <c:v>0.5697424892703864</c:v>
                </c:pt>
                <c:pt idx="4">
                  <c:v>0.61051502145922754</c:v>
                </c:pt>
                <c:pt idx="5">
                  <c:v>0.6684549356223175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D3-46E7-96B5-10560DD5E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551839"/>
        <c:axId val="661550911"/>
      </c:scatterChart>
      <c:valAx>
        <c:axId val="62055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550911"/>
        <c:crosses val="autoZero"/>
        <c:crossBetween val="midCat"/>
      </c:valAx>
      <c:valAx>
        <c:axId val="6615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055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'IC50'!$R$2</c:f>
              <c:strCache>
                <c:ptCount val="1"/>
                <c:pt idx="0">
                  <c:v>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1059318720052"/>
                  <c:y val="-0.30833443913185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7831873471788044"/>
                  <c:y val="-0.189501166280789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'IC50'!$N$3:$N$8</c:f>
              <c:numCache>
                <c:formatCode>0.00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xVal>
          <c:yVal>
            <c:numRef>
              <c:f>'IC50'!$R$3:$R$8</c:f>
              <c:numCache>
                <c:formatCode>0.0000_);[Red]\(0.0000\)</c:formatCode>
                <c:ptCount val="6"/>
                <c:pt idx="0">
                  <c:v>0.45970937912813736</c:v>
                </c:pt>
                <c:pt idx="1">
                  <c:v>0.47952443857331573</c:v>
                </c:pt>
                <c:pt idx="2">
                  <c:v>0.54557463672391027</c:v>
                </c:pt>
                <c:pt idx="3">
                  <c:v>0.55217965653896961</c:v>
                </c:pt>
                <c:pt idx="4">
                  <c:v>0.70145310435931307</c:v>
                </c:pt>
                <c:pt idx="5">
                  <c:v>0.7027741083223249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21-48D3-94D2-6E80664A6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544223"/>
        <c:axId val="524543743"/>
      </c:scatterChart>
      <c:valAx>
        <c:axId val="52454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543743"/>
        <c:crosses val="autoZero"/>
        <c:crossBetween val="midCat"/>
      </c:valAx>
      <c:valAx>
        <c:axId val="5245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454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6894</xdr:colOff>
      <xdr:row>0</xdr:row>
      <xdr:rowOff>38062</xdr:rowOff>
    </xdr:from>
    <xdr:to>
      <xdr:col>12</xdr:col>
      <xdr:colOff>0</xdr:colOff>
      <xdr:row>7</xdr:row>
      <xdr:rowOff>152251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16375</xdr:colOff>
      <xdr:row>8</xdr:row>
      <xdr:rowOff>0</xdr:rowOff>
    </xdr:from>
    <xdr:to>
      <xdr:col>11</xdr:col>
      <xdr:colOff>598988</xdr:colOff>
      <xdr:row>15</xdr:row>
      <xdr:rowOff>139102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8</xdr:row>
      <xdr:rowOff>0</xdr:rowOff>
    </xdr:from>
    <xdr:to>
      <xdr:col>24</xdr:col>
      <xdr:colOff>49987</xdr:colOff>
      <xdr:row>15</xdr:row>
      <xdr:rowOff>152251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16375</xdr:colOff>
      <xdr:row>15</xdr:row>
      <xdr:rowOff>139102</xdr:rowOff>
    </xdr:from>
    <xdr:to>
      <xdr:col>24</xdr:col>
      <xdr:colOff>7756</xdr:colOff>
      <xdr:row>23</xdr:row>
      <xdr:rowOff>139102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15</xdr:row>
      <xdr:rowOff>152251</xdr:rowOff>
    </xdr:from>
    <xdr:to>
      <xdr:col>11</xdr:col>
      <xdr:colOff>607606</xdr:colOff>
      <xdr:row>23</xdr:row>
      <xdr:rowOff>164708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23</xdr:row>
      <xdr:rowOff>164708</xdr:rowOff>
    </xdr:from>
    <xdr:to>
      <xdr:col>12</xdr:col>
      <xdr:colOff>7756</xdr:colOff>
      <xdr:row>31</xdr:row>
      <xdr:rowOff>126645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7756</xdr:colOff>
      <xdr:row>32</xdr:row>
      <xdr:rowOff>12456</xdr:rowOff>
    </xdr:from>
    <xdr:to>
      <xdr:col>24</xdr:col>
      <xdr:colOff>0</xdr:colOff>
      <xdr:row>40</xdr:row>
      <xdr:rowOff>12456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16375</xdr:colOff>
      <xdr:row>23</xdr:row>
      <xdr:rowOff>164708</xdr:rowOff>
    </xdr:from>
    <xdr:to>
      <xdr:col>24</xdr:col>
      <xdr:colOff>7756</xdr:colOff>
      <xdr:row>31</xdr:row>
      <xdr:rowOff>164708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31</xdr:row>
      <xdr:rowOff>139102</xdr:rowOff>
    </xdr:from>
    <xdr:to>
      <xdr:col>12</xdr:col>
      <xdr:colOff>0</xdr:colOff>
      <xdr:row>40</xdr:row>
      <xdr:rowOff>12456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40</xdr:row>
      <xdr:rowOff>12456</xdr:rowOff>
    </xdr:from>
    <xdr:to>
      <xdr:col>24</xdr:col>
      <xdr:colOff>7756</xdr:colOff>
      <xdr:row>48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605883</xdr:colOff>
      <xdr:row>40</xdr:row>
      <xdr:rowOff>38062</xdr:rowOff>
    </xdr:from>
    <xdr:to>
      <xdr:col>11</xdr:col>
      <xdr:colOff>605883</xdr:colOff>
      <xdr:row>48</xdr:row>
      <xdr:rowOff>24913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28441</xdr:colOff>
      <xdr:row>48</xdr:row>
      <xdr:rowOff>12456</xdr:rowOff>
    </xdr:from>
    <xdr:to>
      <xdr:col>24</xdr:col>
      <xdr:colOff>70671</xdr:colOff>
      <xdr:row>55</xdr:row>
      <xdr:rowOff>164708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24993</xdr:colOff>
      <xdr:row>56</xdr:row>
      <xdr:rowOff>0</xdr:rowOff>
    </xdr:from>
    <xdr:to>
      <xdr:col>12</xdr:col>
      <xdr:colOff>0</xdr:colOff>
      <xdr:row>63</xdr:row>
      <xdr:rowOff>126645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0</xdr:colOff>
      <xdr:row>56</xdr:row>
      <xdr:rowOff>0</xdr:rowOff>
    </xdr:from>
    <xdr:to>
      <xdr:col>24</xdr:col>
      <xdr:colOff>41368</xdr:colOff>
      <xdr:row>63</xdr:row>
      <xdr:rowOff>114188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41368</xdr:colOff>
      <xdr:row>64</xdr:row>
      <xdr:rowOff>12456</xdr:rowOff>
    </xdr:from>
    <xdr:to>
      <xdr:col>24</xdr:col>
      <xdr:colOff>0</xdr:colOff>
      <xdr:row>71</xdr:row>
      <xdr:rowOff>164708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7756</xdr:colOff>
      <xdr:row>48</xdr:row>
      <xdr:rowOff>12456</xdr:rowOff>
    </xdr:from>
    <xdr:to>
      <xdr:col>11</xdr:col>
      <xdr:colOff>598988</xdr:colOff>
      <xdr:row>56</xdr:row>
      <xdr:rowOff>88582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24993</xdr:colOff>
      <xdr:row>72</xdr:row>
      <xdr:rowOff>62976</xdr:rowOff>
    </xdr:from>
    <xdr:to>
      <xdr:col>24</xdr:col>
      <xdr:colOff>24993</xdr:colOff>
      <xdr:row>79</xdr:row>
      <xdr:rowOff>101039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41368</xdr:colOff>
      <xdr:row>72</xdr:row>
      <xdr:rowOff>0</xdr:rowOff>
    </xdr:from>
    <xdr:to>
      <xdr:col>11</xdr:col>
      <xdr:colOff>582613</xdr:colOff>
      <xdr:row>79</xdr:row>
      <xdr:rowOff>139102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598988</xdr:colOff>
      <xdr:row>79</xdr:row>
      <xdr:rowOff>164708</xdr:rowOff>
    </xdr:from>
    <xdr:to>
      <xdr:col>12</xdr:col>
      <xdr:colOff>0</xdr:colOff>
      <xdr:row>87</xdr:row>
      <xdr:rowOff>139102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33612</xdr:colOff>
      <xdr:row>79</xdr:row>
      <xdr:rowOff>164708</xdr:rowOff>
    </xdr:from>
    <xdr:to>
      <xdr:col>24</xdr:col>
      <xdr:colOff>24993</xdr:colOff>
      <xdr:row>87</xdr:row>
      <xdr:rowOff>114188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33612</xdr:colOff>
      <xdr:row>63</xdr:row>
      <xdr:rowOff>164708</xdr:rowOff>
    </xdr:from>
    <xdr:to>
      <xdr:col>11</xdr:col>
      <xdr:colOff>598988</xdr:colOff>
      <xdr:row>72</xdr:row>
      <xdr:rowOff>38062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16375</xdr:colOff>
      <xdr:row>87</xdr:row>
      <xdr:rowOff>139102</xdr:rowOff>
    </xdr:from>
    <xdr:to>
      <xdr:col>24</xdr:col>
      <xdr:colOff>41368</xdr:colOff>
      <xdr:row>95</xdr:row>
      <xdr:rowOff>139102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7756</xdr:colOff>
      <xdr:row>96</xdr:row>
      <xdr:rowOff>12456</xdr:rowOff>
    </xdr:from>
    <xdr:to>
      <xdr:col>11</xdr:col>
      <xdr:colOff>582613</xdr:colOff>
      <xdr:row>104</xdr:row>
      <xdr:rowOff>12456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</xdr:col>
      <xdr:colOff>16375</xdr:colOff>
      <xdr:row>95</xdr:row>
      <xdr:rowOff>139102</xdr:rowOff>
    </xdr:from>
    <xdr:to>
      <xdr:col>24</xdr:col>
      <xdr:colOff>49987</xdr:colOff>
      <xdr:row>104</xdr:row>
      <xdr:rowOff>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</xdr:col>
      <xdr:colOff>7756</xdr:colOff>
      <xdr:row>104</xdr:row>
      <xdr:rowOff>12456</xdr:rowOff>
    </xdr:from>
    <xdr:to>
      <xdr:col>11</xdr:col>
      <xdr:colOff>607606</xdr:colOff>
      <xdr:row>112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33612</xdr:colOff>
      <xdr:row>104</xdr:row>
      <xdr:rowOff>12456</xdr:rowOff>
    </xdr:from>
    <xdr:to>
      <xdr:col>24</xdr:col>
      <xdr:colOff>75843</xdr:colOff>
      <xdr:row>111</xdr:row>
      <xdr:rowOff>114188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7756</xdr:colOff>
      <xdr:row>112</xdr:row>
      <xdr:rowOff>38062</xdr:rowOff>
    </xdr:from>
    <xdr:to>
      <xdr:col>12</xdr:col>
      <xdr:colOff>7756</xdr:colOff>
      <xdr:row>119</xdr:row>
      <xdr:rowOff>88582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19</xdr:col>
      <xdr:colOff>41368</xdr:colOff>
      <xdr:row>111</xdr:row>
      <xdr:rowOff>126645</xdr:rowOff>
    </xdr:from>
    <xdr:to>
      <xdr:col>24</xdr:col>
      <xdr:colOff>75843</xdr:colOff>
      <xdr:row>119</xdr:row>
      <xdr:rowOff>139102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590369</xdr:colOff>
      <xdr:row>88</xdr:row>
      <xdr:rowOff>12456</xdr:rowOff>
    </xdr:from>
    <xdr:to>
      <xdr:col>11</xdr:col>
      <xdr:colOff>607606</xdr:colOff>
      <xdr:row>95</xdr:row>
      <xdr:rowOff>164708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18</xdr:col>
      <xdr:colOff>616225</xdr:colOff>
      <xdr:row>0</xdr:row>
      <xdr:rowOff>12456</xdr:rowOff>
    </xdr:from>
    <xdr:to>
      <xdr:col>24</xdr:col>
      <xdr:colOff>49987</xdr:colOff>
      <xdr:row>7</xdr:row>
      <xdr:rowOff>139102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"/>
  <sheetViews>
    <sheetView tabSelected="1" zoomScale="69" workbookViewId="0">
      <selection activeCell="N114" sqref="N114"/>
    </sheetView>
  </sheetViews>
  <sheetFormatPr defaultColWidth="10" defaultRowHeight="13.95" x14ac:dyDescent="0.25"/>
  <cols>
    <col min="2" max="2" width="14.109375" customWidth="1"/>
  </cols>
  <sheetData>
    <row r="1" spans="1:19" x14ac:dyDescent="0.25">
      <c r="A1" t="s">
        <v>0</v>
      </c>
      <c r="F1" s="1"/>
      <c r="M1" t="s">
        <v>17</v>
      </c>
      <c r="N1" s="2"/>
      <c r="R1" s="1"/>
      <c r="S1" s="3"/>
    </row>
    <row r="2" spans="1:19" x14ac:dyDescent="0.25">
      <c r="A2" t="s">
        <v>40</v>
      </c>
      <c r="B2" t="s">
        <v>39</v>
      </c>
      <c r="C2" t="s">
        <v>2</v>
      </c>
      <c r="D2" t="s">
        <v>4</v>
      </c>
      <c r="F2" s="1" t="s">
        <v>38</v>
      </c>
      <c r="G2" t="s">
        <v>14</v>
      </c>
      <c r="M2" t="s">
        <v>40</v>
      </c>
      <c r="N2" t="s">
        <v>39</v>
      </c>
      <c r="O2" t="s">
        <v>1</v>
      </c>
      <c r="P2" t="s">
        <v>3</v>
      </c>
      <c r="R2" s="1" t="s">
        <v>37</v>
      </c>
      <c r="S2" t="s">
        <v>13</v>
      </c>
    </row>
    <row r="3" spans="1:19" x14ac:dyDescent="0.25">
      <c r="A3">
        <v>400</v>
      </c>
      <c r="B3" s="2">
        <f t="shared" ref="B3:B8" si="0">A3/100</f>
        <v>4</v>
      </c>
      <c r="C3">
        <v>0.48399999999999999</v>
      </c>
      <c r="D3">
        <v>6.6000000000000003E-2</v>
      </c>
      <c r="E3">
        <f t="shared" ref="E3:E8" si="1">(C3-D3)/G3</f>
        <v>0.60317460317460314</v>
      </c>
      <c r="F3" s="4">
        <f t="shared" ref="F3:F8" si="2">1-E3</f>
        <v>0.39682539682539686</v>
      </c>
      <c r="G3">
        <v>0.69299999999999995</v>
      </c>
      <c r="M3">
        <v>200</v>
      </c>
      <c r="N3" s="2">
        <f t="shared" ref="N3:N8" si="3">M3/100</f>
        <v>2</v>
      </c>
      <c r="O3">
        <v>0.53300000000000003</v>
      </c>
      <c r="P3">
        <v>0.124</v>
      </c>
      <c r="Q3">
        <f t="shared" ref="Q3:Q8" si="4">(O3-P3)/S3</f>
        <v>0.54029062087186264</v>
      </c>
      <c r="R3" s="1">
        <f t="shared" ref="R3:R8" si="5">1-Q3</f>
        <v>0.45970937912813736</v>
      </c>
      <c r="S3">
        <v>0.75700000000000001</v>
      </c>
    </row>
    <row r="4" spans="1:19" x14ac:dyDescent="0.25">
      <c r="A4">
        <v>450</v>
      </c>
      <c r="B4" s="2">
        <f t="shared" si="0"/>
        <v>4.5</v>
      </c>
      <c r="C4">
        <v>0.48699999999999999</v>
      </c>
      <c r="D4">
        <v>7.5999999999999998E-2</v>
      </c>
      <c r="E4">
        <f t="shared" si="1"/>
        <v>0.59307359307359309</v>
      </c>
      <c r="F4" s="4">
        <f t="shared" si="2"/>
        <v>0.40692640692640691</v>
      </c>
      <c r="G4">
        <v>0.69299999999999995</v>
      </c>
      <c r="M4">
        <v>300</v>
      </c>
      <c r="N4" s="2">
        <f t="shared" si="3"/>
        <v>3</v>
      </c>
      <c r="O4">
        <v>0.54400000000000004</v>
      </c>
      <c r="P4">
        <v>0.15</v>
      </c>
      <c r="Q4">
        <f t="shared" si="4"/>
        <v>0.52047556142668427</v>
      </c>
      <c r="R4" s="1">
        <f t="shared" si="5"/>
        <v>0.47952443857331573</v>
      </c>
      <c r="S4">
        <v>0.75700000000000001</v>
      </c>
    </row>
    <row r="5" spans="1:19" x14ac:dyDescent="0.25">
      <c r="A5">
        <v>500</v>
      </c>
      <c r="B5" s="2">
        <f t="shared" si="0"/>
        <v>5</v>
      </c>
      <c r="C5">
        <v>0.47099999999999997</v>
      </c>
      <c r="D5">
        <v>8.5999999999999993E-2</v>
      </c>
      <c r="E5">
        <f t="shared" si="1"/>
        <v>0.55555555555555558</v>
      </c>
      <c r="F5" s="4">
        <f t="shared" si="2"/>
        <v>0.44444444444444442</v>
      </c>
      <c r="G5">
        <v>0.69299999999999995</v>
      </c>
      <c r="M5">
        <v>400</v>
      </c>
      <c r="N5" s="2">
        <f t="shared" si="3"/>
        <v>4</v>
      </c>
      <c r="O5">
        <v>0.50700000000000001</v>
      </c>
      <c r="P5">
        <v>0.16300000000000001</v>
      </c>
      <c r="Q5">
        <f t="shared" si="4"/>
        <v>0.45442536327608979</v>
      </c>
      <c r="R5" s="1">
        <f t="shared" si="5"/>
        <v>0.54557463672391027</v>
      </c>
      <c r="S5">
        <v>0.75700000000000001</v>
      </c>
    </row>
    <row r="6" spans="1:19" x14ac:dyDescent="0.25">
      <c r="A6">
        <v>550</v>
      </c>
      <c r="B6" s="2">
        <f t="shared" si="0"/>
        <v>5.5</v>
      </c>
      <c r="C6">
        <v>0.44700000000000001</v>
      </c>
      <c r="D6">
        <v>9.5000000000000001E-2</v>
      </c>
      <c r="E6">
        <f t="shared" si="1"/>
        <v>0.50793650793650791</v>
      </c>
      <c r="F6" s="4">
        <f t="shared" si="2"/>
        <v>0.49206349206349209</v>
      </c>
      <c r="G6">
        <v>0.69299999999999995</v>
      </c>
      <c r="M6">
        <v>500</v>
      </c>
      <c r="N6" s="2">
        <f t="shared" si="3"/>
        <v>5</v>
      </c>
      <c r="O6">
        <v>0.52500000000000002</v>
      </c>
      <c r="P6">
        <v>0.186</v>
      </c>
      <c r="Q6">
        <f t="shared" si="4"/>
        <v>0.44782034346103039</v>
      </c>
      <c r="R6" s="1">
        <f t="shared" si="5"/>
        <v>0.55217965653896961</v>
      </c>
      <c r="S6">
        <v>0.75700000000000001</v>
      </c>
    </row>
    <row r="7" spans="1:19" ht="15.75" customHeight="1" x14ac:dyDescent="0.25">
      <c r="A7">
        <v>600</v>
      </c>
      <c r="B7" s="2">
        <f t="shared" si="0"/>
        <v>6</v>
      </c>
      <c r="C7">
        <v>0.442</v>
      </c>
      <c r="D7">
        <v>0.111</v>
      </c>
      <c r="E7">
        <f t="shared" si="1"/>
        <v>0.47763347763347769</v>
      </c>
      <c r="F7" s="4">
        <f t="shared" si="2"/>
        <v>0.52236652236652237</v>
      </c>
      <c r="G7">
        <v>0.69299999999999995</v>
      </c>
      <c r="M7">
        <v>600</v>
      </c>
      <c r="N7" s="2">
        <f t="shared" si="3"/>
        <v>6</v>
      </c>
      <c r="O7">
        <v>0.436</v>
      </c>
      <c r="P7">
        <v>0.21</v>
      </c>
      <c r="Q7">
        <f t="shared" si="4"/>
        <v>0.29854689564068693</v>
      </c>
      <c r="R7" s="1">
        <f t="shared" si="5"/>
        <v>0.70145310435931307</v>
      </c>
      <c r="S7">
        <v>0.75700000000000001</v>
      </c>
    </row>
    <row r="8" spans="1:19" x14ac:dyDescent="0.25">
      <c r="A8">
        <v>650</v>
      </c>
      <c r="B8" s="2">
        <f t="shared" si="0"/>
        <v>6.5</v>
      </c>
      <c r="C8">
        <v>0.41699999999999998</v>
      </c>
      <c r="D8">
        <v>0.11700000000000001</v>
      </c>
      <c r="E8">
        <f t="shared" si="1"/>
        <v>0.4329004329004329</v>
      </c>
      <c r="F8" s="4">
        <f t="shared" si="2"/>
        <v>0.5670995670995671</v>
      </c>
      <c r="G8">
        <v>0.69299999999999995</v>
      </c>
      <c r="M8">
        <v>700</v>
      </c>
      <c r="N8" s="2">
        <f t="shared" si="3"/>
        <v>7</v>
      </c>
      <c r="O8">
        <v>0.44700000000000001</v>
      </c>
      <c r="P8">
        <v>0.222</v>
      </c>
      <c r="Q8">
        <f t="shared" si="4"/>
        <v>0.29722589167767505</v>
      </c>
      <c r="R8" s="1">
        <f t="shared" si="5"/>
        <v>0.7027741083223249</v>
      </c>
      <c r="S8">
        <v>0.75700000000000001</v>
      </c>
    </row>
    <row r="9" spans="1:19" x14ac:dyDescent="0.25">
      <c r="A9" t="s">
        <v>9</v>
      </c>
      <c r="M9" t="s">
        <v>5</v>
      </c>
    </row>
    <row r="10" spans="1:19" x14ac:dyDescent="0.25">
      <c r="A10" t="s">
        <v>40</v>
      </c>
      <c r="B10" t="s">
        <v>39</v>
      </c>
      <c r="C10" t="s">
        <v>1</v>
      </c>
      <c r="D10" t="s">
        <v>3</v>
      </c>
      <c r="F10" s="1" t="s">
        <v>37</v>
      </c>
      <c r="G10" t="s">
        <v>13</v>
      </c>
      <c r="M10" t="s">
        <v>40</v>
      </c>
      <c r="N10" t="s">
        <v>39</v>
      </c>
      <c r="O10" t="s">
        <v>1</v>
      </c>
      <c r="P10" t="s">
        <v>3</v>
      </c>
      <c r="R10" s="1" t="s">
        <v>37</v>
      </c>
      <c r="S10" t="s">
        <v>13</v>
      </c>
    </row>
    <row r="11" spans="1:19" x14ac:dyDescent="0.25">
      <c r="A11">
        <v>200</v>
      </c>
      <c r="B11" s="2">
        <f t="shared" ref="B11:B16" si="6">A11/100</f>
        <v>2</v>
      </c>
      <c r="C11">
        <v>0.68600000000000005</v>
      </c>
      <c r="D11">
        <v>5.1999999999999998E-2</v>
      </c>
      <c r="E11">
        <f>(C11-D11)/G11</f>
        <v>0.87569060773480667</v>
      </c>
      <c r="F11" s="1">
        <f t="shared" ref="F11:F16" si="7">1-E11</f>
        <v>0.12430939226519333</v>
      </c>
      <c r="G11">
        <v>0.72399999999999998</v>
      </c>
      <c r="M11">
        <v>200</v>
      </c>
      <c r="N11" s="2">
        <f t="shared" ref="N11:N16" si="8">M11/100</f>
        <v>2</v>
      </c>
      <c r="O11">
        <v>0.63400000000000001</v>
      </c>
      <c r="P11">
        <v>7.5999999999999998E-2</v>
      </c>
      <c r="Q11">
        <f t="shared" ref="Q11:Q16" si="9">(O11-P11)/S11</f>
        <v>0.7410358565737053</v>
      </c>
      <c r="R11" s="1">
        <f t="shared" ref="R11:R16" si="10">1-Q11</f>
        <v>0.2589641434262947</v>
      </c>
      <c r="S11">
        <v>0.753</v>
      </c>
    </row>
    <row r="12" spans="1:19" x14ac:dyDescent="0.25">
      <c r="A12">
        <v>300</v>
      </c>
      <c r="B12" s="2">
        <f t="shared" si="6"/>
        <v>3</v>
      </c>
      <c r="C12">
        <v>0.61699999999999999</v>
      </c>
      <c r="D12">
        <v>6.5000000000000002E-2</v>
      </c>
      <c r="E12">
        <f t="shared" ref="E12:E16" si="11">(C12-D12)/G12</f>
        <v>0.76243093922651939</v>
      </c>
      <c r="F12" s="1">
        <f t="shared" si="7"/>
        <v>0.23756906077348061</v>
      </c>
      <c r="G12">
        <v>0.72399999999999998</v>
      </c>
      <c r="M12">
        <v>300</v>
      </c>
      <c r="N12" s="2">
        <f t="shared" si="8"/>
        <v>3</v>
      </c>
      <c r="O12">
        <v>0.622</v>
      </c>
      <c r="P12">
        <v>0.113</v>
      </c>
      <c r="Q12">
        <f t="shared" si="9"/>
        <v>0.67596281540504644</v>
      </c>
      <c r="R12" s="1">
        <f t="shared" si="10"/>
        <v>0.32403718459495356</v>
      </c>
      <c r="S12">
        <v>0.753</v>
      </c>
    </row>
    <row r="13" spans="1:19" x14ac:dyDescent="0.25">
      <c r="A13">
        <v>400</v>
      </c>
      <c r="B13" s="2">
        <f t="shared" si="6"/>
        <v>4</v>
      </c>
      <c r="C13">
        <v>0.61499999999999999</v>
      </c>
      <c r="D13">
        <v>8.4000000000000005E-2</v>
      </c>
      <c r="E13">
        <f t="shared" si="11"/>
        <v>0.73342541436464093</v>
      </c>
      <c r="F13" s="1">
        <f t="shared" si="7"/>
        <v>0.26657458563535907</v>
      </c>
      <c r="G13">
        <v>0.72399999999999998</v>
      </c>
      <c r="M13">
        <v>400</v>
      </c>
      <c r="N13" s="2">
        <f t="shared" si="8"/>
        <v>4</v>
      </c>
      <c r="O13">
        <v>0.57099999999999995</v>
      </c>
      <c r="P13">
        <v>0.14000000000000001</v>
      </c>
      <c r="Q13">
        <f t="shared" si="9"/>
        <v>0.57237715803452849</v>
      </c>
      <c r="R13" s="1">
        <f t="shared" si="10"/>
        <v>0.42762284196547151</v>
      </c>
      <c r="S13">
        <v>0.753</v>
      </c>
    </row>
    <row r="14" spans="1:19" x14ac:dyDescent="0.25">
      <c r="A14">
        <v>500</v>
      </c>
      <c r="B14" s="2">
        <f t="shared" si="6"/>
        <v>5</v>
      </c>
      <c r="C14">
        <v>0.57599999999999996</v>
      </c>
      <c r="D14">
        <v>0.10299999999999999</v>
      </c>
      <c r="E14">
        <f t="shared" si="11"/>
        <v>0.65331491712707179</v>
      </c>
      <c r="F14" s="1">
        <f t="shared" si="7"/>
        <v>0.34668508287292821</v>
      </c>
      <c r="G14">
        <v>0.72399999999999998</v>
      </c>
      <c r="M14">
        <v>500</v>
      </c>
      <c r="N14" s="2">
        <f t="shared" si="8"/>
        <v>5</v>
      </c>
      <c r="O14">
        <v>0.52700000000000002</v>
      </c>
      <c r="P14">
        <v>0.16300000000000001</v>
      </c>
      <c r="Q14">
        <f t="shared" si="9"/>
        <v>0.48339973439575029</v>
      </c>
      <c r="R14" s="1">
        <f t="shared" si="10"/>
        <v>0.51660026560424965</v>
      </c>
      <c r="S14">
        <v>0.753</v>
      </c>
    </row>
    <row r="15" spans="1:19" x14ac:dyDescent="0.25">
      <c r="A15">
        <v>600</v>
      </c>
      <c r="B15" s="2">
        <f t="shared" si="6"/>
        <v>6</v>
      </c>
      <c r="C15">
        <v>0.54800000000000004</v>
      </c>
      <c r="D15">
        <v>0.127</v>
      </c>
      <c r="E15">
        <f t="shared" si="11"/>
        <v>0.58149171270718236</v>
      </c>
      <c r="F15" s="1">
        <f t="shared" si="7"/>
        <v>0.41850828729281764</v>
      </c>
      <c r="G15">
        <v>0.72399999999999998</v>
      </c>
      <c r="M15">
        <v>600</v>
      </c>
      <c r="N15" s="2">
        <f t="shared" si="8"/>
        <v>6</v>
      </c>
      <c r="O15">
        <v>0.49</v>
      </c>
      <c r="P15">
        <v>0.193</v>
      </c>
      <c r="Q15">
        <f t="shared" si="9"/>
        <v>0.39442231075697209</v>
      </c>
      <c r="R15" s="1">
        <f t="shared" si="10"/>
        <v>0.60557768924302791</v>
      </c>
      <c r="S15">
        <v>0.753</v>
      </c>
    </row>
    <row r="16" spans="1:19" x14ac:dyDescent="0.25">
      <c r="A16">
        <v>700</v>
      </c>
      <c r="B16" s="2">
        <f t="shared" si="6"/>
        <v>7</v>
      </c>
      <c r="C16">
        <v>0.50900000000000001</v>
      </c>
      <c r="D16">
        <v>0.14799999999999999</v>
      </c>
      <c r="E16">
        <f t="shared" si="11"/>
        <v>0.49861878453038672</v>
      </c>
      <c r="F16" s="1">
        <f t="shared" si="7"/>
        <v>0.50138121546961334</v>
      </c>
      <c r="G16">
        <v>0.72399999999999998</v>
      </c>
      <c r="M16">
        <v>700</v>
      </c>
      <c r="N16" s="2">
        <f t="shared" si="8"/>
        <v>7</v>
      </c>
      <c r="O16">
        <v>0.46600000000000003</v>
      </c>
      <c r="P16">
        <v>0.218</v>
      </c>
      <c r="Q16">
        <f t="shared" si="9"/>
        <v>0.32934926958831345</v>
      </c>
      <c r="R16" s="1">
        <f t="shared" si="10"/>
        <v>0.67065073041168655</v>
      </c>
      <c r="S16">
        <v>0.753</v>
      </c>
    </row>
    <row r="17" spans="1:19" x14ac:dyDescent="0.25">
      <c r="A17" t="s">
        <v>6</v>
      </c>
      <c r="M17" t="s">
        <v>16</v>
      </c>
      <c r="N17" s="2"/>
      <c r="R17" s="1"/>
      <c r="S17" s="3"/>
    </row>
    <row r="18" spans="1:19" x14ac:dyDescent="0.25">
      <c r="A18" t="s">
        <v>40</v>
      </c>
      <c r="B18" t="s">
        <v>39</v>
      </c>
      <c r="C18" t="s">
        <v>2</v>
      </c>
      <c r="D18" t="s">
        <v>4</v>
      </c>
      <c r="F18" s="1" t="s">
        <v>37</v>
      </c>
      <c r="G18" t="s">
        <v>14</v>
      </c>
      <c r="M18" t="s">
        <v>40</v>
      </c>
      <c r="N18" t="s">
        <v>39</v>
      </c>
      <c r="O18" t="s">
        <v>1</v>
      </c>
      <c r="P18" t="s">
        <v>3</v>
      </c>
      <c r="R18" s="1" t="s">
        <v>37</v>
      </c>
      <c r="S18" t="s">
        <v>13</v>
      </c>
    </row>
    <row r="19" spans="1:19" x14ac:dyDescent="0.25">
      <c r="A19">
        <v>200</v>
      </c>
      <c r="B19" s="2">
        <f t="shared" ref="B19:B24" si="12">A19/100</f>
        <v>2</v>
      </c>
      <c r="C19">
        <v>0.55000000000000004</v>
      </c>
      <c r="D19">
        <v>0.13300000000000001</v>
      </c>
      <c r="E19">
        <f t="shared" ref="E19:E24" si="13">(C19-D19)/G19</f>
        <v>0.52452830188679245</v>
      </c>
      <c r="F19" s="4">
        <f t="shared" ref="F19:F24" si="14">1-E19</f>
        <v>0.47547169811320755</v>
      </c>
      <c r="G19">
        <v>0.79500000000000004</v>
      </c>
      <c r="M19">
        <v>200</v>
      </c>
      <c r="N19" s="2">
        <f t="shared" ref="N19:N24" si="15">M19/100</f>
        <v>2</v>
      </c>
      <c r="O19">
        <v>0.60299999999999998</v>
      </c>
      <c r="P19">
        <v>-8.9999999999999993E-3</v>
      </c>
      <c r="Q19">
        <f t="shared" ref="Q19:Q24" si="16">(O19-P19)/S19</f>
        <v>0.8595505617977528</v>
      </c>
      <c r="R19" s="1">
        <f t="shared" ref="R19:R24" si="17">1-Q19</f>
        <v>0.1404494382022472</v>
      </c>
      <c r="S19">
        <v>0.71199999999999997</v>
      </c>
    </row>
    <row r="20" spans="1:19" x14ac:dyDescent="0.25">
      <c r="A20">
        <v>300</v>
      </c>
      <c r="B20" s="2">
        <f t="shared" si="12"/>
        <v>3</v>
      </c>
      <c r="C20">
        <v>0.56599999999999995</v>
      </c>
      <c r="D20">
        <v>0.161</v>
      </c>
      <c r="E20">
        <f t="shared" si="13"/>
        <v>0.50943396226415083</v>
      </c>
      <c r="F20" s="4">
        <f t="shared" si="14"/>
        <v>0.49056603773584917</v>
      </c>
      <c r="G20">
        <v>0.79500000000000004</v>
      </c>
      <c r="M20">
        <v>300</v>
      </c>
      <c r="N20" s="2">
        <f t="shared" si="15"/>
        <v>3</v>
      </c>
      <c r="O20">
        <v>0.59299999999999997</v>
      </c>
      <c r="P20">
        <v>2.5000000000000001E-2</v>
      </c>
      <c r="Q20">
        <f t="shared" si="16"/>
        <v>0.797752808988764</v>
      </c>
      <c r="R20" s="1">
        <f t="shared" si="17"/>
        <v>0.202247191011236</v>
      </c>
      <c r="S20">
        <v>0.71199999999999997</v>
      </c>
    </row>
    <row r="21" spans="1:19" x14ac:dyDescent="0.25">
      <c r="A21">
        <v>400</v>
      </c>
      <c r="B21" s="2">
        <f t="shared" si="12"/>
        <v>4</v>
      </c>
      <c r="C21">
        <v>0.54300000000000004</v>
      </c>
      <c r="D21">
        <v>0.20799999999999999</v>
      </c>
      <c r="E21">
        <f t="shared" si="13"/>
        <v>0.42138364779874221</v>
      </c>
      <c r="F21" s="4">
        <f t="shared" si="14"/>
        <v>0.57861635220125773</v>
      </c>
      <c r="G21">
        <v>0.79500000000000004</v>
      </c>
      <c r="M21">
        <v>400</v>
      </c>
      <c r="N21" s="2">
        <f t="shared" si="15"/>
        <v>4</v>
      </c>
      <c r="O21">
        <v>0.54100000000000004</v>
      </c>
      <c r="P21">
        <v>4.4999999999999998E-2</v>
      </c>
      <c r="Q21">
        <f t="shared" si="16"/>
        <v>0.69662921348314621</v>
      </c>
      <c r="R21" s="1">
        <f t="shared" si="17"/>
        <v>0.30337078651685379</v>
      </c>
      <c r="S21">
        <v>0.71199999999999997</v>
      </c>
    </row>
    <row r="22" spans="1:19" x14ac:dyDescent="0.25">
      <c r="A22">
        <v>500</v>
      </c>
      <c r="B22" s="2">
        <f t="shared" si="12"/>
        <v>5</v>
      </c>
      <c r="C22">
        <v>0.47899999999999998</v>
      </c>
      <c r="D22">
        <v>0.22500000000000001</v>
      </c>
      <c r="E22">
        <f t="shared" si="13"/>
        <v>0.31949685534591193</v>
      </c>
      <c r="F22" s="4">
        <f t="shared" si="14"/>
        <v>0.68050314465408812</v>
      </c>
      <c r="G22">
        <v>0.79500000000000004</v>
      </c>
      <c r="M22">
        <v>500</v>
      </c>
      <c r="N22" s="2">
        <f t="shared" si="15"/>
        <v>5</v>
      </c>
      <c r="O22">
        <v>0.496</v>
      </c>
      <c r="P22">
        <v>5.8999999999999997E-2</v>
      </c>
      <c r="Q22">
        <f t="shared" si="16"/>
        <v>0.61376404494382031</v>
      </c>
      <c r="R22" s="1">
        <f t="shared" si="17"/>
        <v>0.38623595505617969</v>
      </c>
      <c r="S22">
        <v>0.71199999999999997</v>
      </c>
    </row>
    <row r="23" spans="1:19" x14ac:dyDescent="0.25">
      <c r="A23">
        <v>600</v>
      </c>
      <c r="B23" s="2">
        <f t="shared" si="12"/>
        <v>6</v>
      </c>
      <c r="C23">
        <v>0.45800000000000002</v>
      </c>
      <c r="D23">
        <v>0.23599999999999999</v>
      </c>
      <c r="E23">
        <f t="shared" si="13"/>
        <v>0.27924528301886797</v>
      </c>
      <c r="F23" s="4">
        <f t="shared" si="14"/>
        <v>0.72075471698113203</v>
      </c>
      <c r="G23">
        <v>0.79500000000000004</v>
      </c>
      <c r="M23">
        <v>600</v>
      </c>
      <c r="N23" s="2">
        <f t="shared" si="15"/>
        <v>6</v>
      </c>
      <c r="O23">
        <v>0.45300000000000001</v>
      </c>
      <c r="P23">
        <v>8.7999999999999995E-2</v>
      </c>
      <c r="Q23">
        <f t="shared" si="16"/>
        <v>0.51264044943820231</v>
      </c>
      <c r="R23" s="1">
        <f t="shared" si="17"/>
        <v>0.48735955056179769</v>
      </c>
      <c r="S23">
        <v>0.71199999999999997</v>
      </c>
    </row>
    <row r="24" spans="1:19" x14ac:dyDescent="0.25">
      <c r="A24">
        <v>700</v>
      </c>
      <c r="B24" s="2">
        <f t="shared" si="12"/>
        <v>7</v>
      </c>
      <c r="C24">
        <v>0.46899999999999997</v>
      </c>
      <c r="D24">
        <v>0.25800000000000001</v>
      </c>
      <c r="E24">
        <f t="shared" si="13"/>
        <v>0.26540880503144648</v>
      </c>
      <c r="F24" s="4">
        <f t="shared" si="14"/>
        <v>0.73459119496855352</v>
      </c>
      <c r="G24">
        <v>0.79500000000000004</v>
      </c>
      <c r="M24">
        <v>700</v>
      </c>
      <c r="N24" s="2">
        <f t="shared" si="15"/>
        <v>7</v>
      </c>
      <c r="O24">
        <v>0.42599999999999999</v>
      </c>
      <c r="P24">
        <v>0.112</v>
      </c>
      <c r="Q24">
        <f t="shared" si="16"/>
        <v>0.4410112359550562</v>
      </c>
      <c r="R24" s="1">
        <f t="shared" si="17"/>
        <v>0.5589887640449438</v>
      </c>
      <c r="S24">
        <v>0.71199999999999997</v>
      </c>
    </row>
    <row r="25" spans="1:19" x14ac:dyDescent="0.25">
      <c r="A25" t="s">
        <v>7</v>
      </c>
      <c r="M25" t="s">
        <v>18</v>
      </c>
    </row>
    <row r="26" spans="1:19" x14ac:dyDescent="0.25">
      <c r="A26" t="s">
        <v>40</v>
      </c>
      <c r="B26" t="s">
        <v>39</v>
      </c>
      <c r="C26" t="s">
        <v>1</v>
      </c>
      <c r="D26" t="s">
        <v>3</v>
      </c>
      <c r="F26" s="1" t="s">
        <v>37</v>
      </c>
      <c r="G26" t="s">
        <v>13</v>
      </c>
      <c r="M26" t="s">
        <v>40</v>
      </c>
      <c r="N26" t="s">
        <v>39</v>
      </c>
      <c r="O26" t="s">
        <v>1</v>
      </c>
      <c r="P26" t="s">
        <v>3</v>
      </c>
      <c r="R26" s="1" t="s">
        <v>37</v>
      </c>
      <c r="S26" t="s">
        <v>13</v>
      </c>
    </row>
    <row r="27" spans="1:19" x14ac:dyDescent="0.25">
      <c r="A27">
        <v>200</v>
      </c>
      <c r="B27" s="2">
        <f t="shared" ref="B27:B32" si="18">A27/100</f>
        <v>2</v>
      </c>
      <c r="C27">
        <v>0.66400000000000003</v>
      </c>
      <c r="D27">
        <v>5.5E-2</v>
      </c>
      <c r="E27">
        <f t="shared" ref="E27:E32" si="19">(C27-D27)/G27</f>
        <v>0.83196721311475408</v>
      </c>
      <c r="F27" s="1">
        <f t="shared" ref="F27:F32" si="20">1-E27</f>
        <v>0.16803278688524592</v>
      </c>
      <c r="G27">
        <v>0.73199999999999998</v>
      </c>
      <c r="M27">
        <v>200</v>
      </c>
      <c r="N27" s="2">
        <f t="shared" ref="N27:N32" si="21">M27/100</f>
        <v>2</v>
      </c>
      <c r="O27">
        <v>0.621</v>
      </c>
      <c r="P27">
        <v>7.9000000000000001E-2</v>
      </c>
      <c r="Q27">
        <f t="shared" ref="Q27:Q32" si="22">(O27-P27)/S27</f>
        <v>0.70757180156657962</v>
      </c>
      <c r="R27" s="1">
        <f t="shared" ref="R27:R32" si="23">1-Q27</f>
        <v>0.29242819843342038</v>
      </c>
      <c r="S27">
        <v>0.76600000000000001</v>
      </c>
    </row>
    <row r="28" spans="1:19" x14ac:dyDescent="0.25">
      <c r="A28">
        <v>300</v>
      </c>
      <c r="B28" s="2">
        <f t="shared" si="18"/>
        <v>3</v>
      </c>
      <c r="C28">
        <v>0.64400000000000002</v>
      </c>
      <c r="D28">
        <v>8.1000000000000003E-2</v>
      </c>
      <c r="E28">
        <f t="shared" si="19"/>
        <v>0.76912568306010942</v>
      </c>
      <c r="F28" s="1">
        <f t="shared" si="20"/>
        <v>0.23087431693989058</v>
      </c>
      <c r="G28">
        <v>0.73199999999999998</v>
      </c>
      <c r="M28">
        <v>300</v>
      </c>
      <c r="N28" s="2">
        <f t="shared" si="21"/>
        <v>3</v>
      </c>
      <c r="O28">
        <v>0.59699999999999998</v>
      </c>
      <c r="P28">
        <v>0.10299999999999999</v>
      </c>
      <c r="Q28">
        <f t="shared" si="22"/>
        <v>0.64490861618798956</v>
      </c>
      <c r="R28" s="1">
        <f t="shared" si="23"/>
        <v>0.35509138381201044</v>
      </c>
      <c r="S28">
        <v>0.76600000000000001</v>
      </c>
    </row>
    <row r="29" spans="1:19" x14ac:dyDescent="0.25">
      <c r="A29">
        <v>400</v>
      </c>
      <c r="B29" s="2">
        <f t="shared" si="18"/>
        <v>4</v>
      </c>
      <c r="C29">
        <v>0.60099999999999998</v>
      </c>
      <c r="D29">
        <v>9.9000000000000005E-2</v>
      </c>
      <c r="E29">
        <f t="shared" si="19"/>
        <v>0.68579234972677594</v>
      </c>
      <c r="F29" s="1">
        <f t="shared" si="20"/>
        <v>0.31420765027322406</v>
      </c>
      <c r="G29">
        <v>0.73199999999999998</v>
      </c>
      <c r="M29">
        <v>400</v>
      </c>
      <c r="N29" s="2">
        <f t="shared" si="21"/>
        <v>4</v>
      </c>
      <c r="O29">
        <v>0.57199999999999995</v>
      </c>
      <c r="P29">
        <v>0.12</v>
      </c>
      <c r="Q29">
        <f t="shared" si="22"/>
        <v>0.59007832898172319</v>
      </c>
      <c r="R29" s="1">
        <f t="shared" si="23"/>
        <v>0.40992167101827681</v>
      </c>
      <c r="S29">
        <v>0.76600000000000001</v>
      </c>
    </row>
    <row r="30" spans="1:19" x14ac:dyDescent="0.25">
      <c r="A30">
        <v>500</v>
      </c>
      <c r="B30" s="2">
        <f t="shared" si="18"/>
        <v>5</v>
      </c>
      <c r="C30">
        <v>0.55200000000000005</v>
      </c>
      <c r="D30">
        <v>0.127</v>
      </c>
      <c r="E30">
        <f t="shared" si="19"/>
        <v>0.5806010928961749</v>
      </c>
      <c r="F30" s="1">
        <f t="shared" si="20"/>
        <v>0.4193989071038251</v>
      </c>
      <c r="G30">
        <v>0.73199999999999998</v>
      </c>
      <c r="M30">
        <v>500</v>
      </c>
      <c r="N30" s="2">
        <f t="shared" si="21"/>
        <v>5</v>
      </c>
      <c r="O30">
        <v>0.53200000000000003</v>
      </c>
      <c r="P30">
        <v>0.13700000000000001</v>
      </c>
      <c r="Q30">
        <f t="shared" si="22"/>
        <v>0.51566579634464749</v>
      </c>
      <c r="R30" s="1">
        <f t="shared" si="23"/>
        <v>0.48433420365535251</v>
      </c>
      <c r="S30">
        <v>0.76600000000000001</v>
      </c>
    </row>
    <row r="31" spans="1:19" x14ac:dyDescent="0.25">
      <c r="A31">
        <v>600</v>
      </c>
      <c r="B31" s="2">
        <f t="shared" si="18"/>
        <v>6</v>
      </c>
      <c r="C31">
        <v>0.52400000000000002</v>
      </c>
      <c r="D31">
        <v>0.152</v>
      </c>
      <c r="E31">
        <f t="shared" si="19"/>
        <v>0.50819672131147542</v>
      </c>
      <c r="F31" s="1">
        <f t="shared" si="20"/>
        <v>0.49180327868852458</v>
      </c>
      <c r="G31">
        <v>0.73199999999999998</v>
      </c>
      <c r="M31">
        <v>600</v>
      </c>
      <c r="N31" s="2">
        <f t="shared" si="21"/>
        <v>6</v>
      </c>
      <c r="O31">
        <v>0.499</v>
      </c>
      <c r="P31">
        <v>0.16</v>
      </c>
      <c r="Q31">
        <f t="shared" si="22"/>
        <v>0.44255874673629236</v>
      </c>
      <c r="R31" s="1">
        <f t="shared" si="23"/>
        <v>0.55744125326370764</v>
      </c>
      <c r="S31">
        <v>0.76600000000000001</v>
      </c>
    </row>
    <row r="32" spans="1:19" x14ac:dyDescent="0.25">
      <c r="A32">
        <v>700</v>
      </c>
      <c r="B32" s="2">
        <f t="shared" si="18"/>
        <v>7</v>
      </c>
      <c r="C32">
        <v>0.499</v>
      </c>
      <c r="D32">
        <v>0.17499999999999999</v>
      </c>
      <c r="E32">
        <f t="shared" si="19"/>
        <v>0.44262295081967218</v>
      </c>
      <c r="F32" s="1">
        <f t="shared" si="20"/>
        <v>0.55737704918032782</v>
      </c>
      <c r="G32">
        <v>0.73199999999999998</v>
      </c>
      <c r="M32">
        <v>700</v>
      </c>
      <c r="N32" s="2">
        <f t="shared" si="21"/>
        <v>7</v>
      </c>
      <c r="O32">
        <v>0.45200000000000001</v>
      </c>
      <c r="P32">
        <v>0.185</v>
      </c>
      <c r="Q32">
        <f t="shared" si="22"/>
        <v>0.34856396866840733</v>
      </c>
      <c r="R32" s="1">
        <f t="shared" si="23"/>
        <v>0.65143603133159267</v>
      </c>
      <c r="S32">
        <v>0.76600000000000001</v>
      </c>
    </row>
    <row r="33" spans="1:19" x14ac:dyDescent="0.25">
      <c r="A33" t="s">
        <v>8</v>
      </c>
      <c r="B33" s="2"/>
      <c r="F33" s="1"/>
      <c r="G33" s="3"/>
      <c r="M33" t="s">
        <v>10</v>
      </c>
    </row>
    <row r="34" spans="1:19" x14ac:dyDescent="0.25">
      <c r="A34" t="s">
        <v>40</v>
      </c>
      <c r="B34" t="s">
        <v>39</v>
      </c>
      <c r="C34" t="s">
        <v>1</v>
      </c>
      <c r="D34" t="s">
        <v>3</v>
      </c>
      <c r="F34" s="1" t="s">
        <v>37</v>
      </c>
      <c r="G34" t="s">
        <v>13</v>
      </c>
      <c r="M34" t="s">
        <v>40</v>
      </c>
      <c r="N34" t="s">
        <v>39</v>
      </c>
      <c r="O34" t="s">
        <v>1</v>
      </c>
      <c r="P34" t="s">
        <v>3</v>
      </c>
      <c r="R34" s="1" t="s">
        <v>37</v>
      </c>
      <c r="S34" t="s">
        <v>14</v>
      </c>
    </row>
    <row r="35" spans="1:19" x14ac:dyDescent="0.25">
      <c r="A35">
        <v>200</v>
      </c>
      <c r="B35" s="2">
        <f t="shared" ref="B35:B40" si="24">A35/100</f>
        <v>2</v>
      </c>
      <c r="C35">
        <v>0.57399999999999995</v>
      </c>
      <c r="D35">
        <v>-7.0000000000000001E-3</v>
      </c>
      <c r="E35">
        <f t="shared" ref="E35:E40" si="25">(C35-D35)/G35</f>
        <v>0.83237822349570201</v>
      </c>
      <c r="F35" s="1">
        <f t="shared" ref="F35:F40" si="26">1-E35</f>
        <v>0.16762177650429799</v>
      </c>
      <c r="G35">
        <v>0.69799999999999995</v>
      </c>
      <c r="M35">
        <v>200</v>
      </c>
      <c r="N35" s="2">
        <f t="shared" ref="N35:N40" si="27">M35/100</f>
        <v>2</v>
      </c>
      <c r="O35">
        <v>0.61899999999999999</v>
      </c>
      <c r="P35">
        <v>7.6999999999999999E-2</v>
      </c>
      <c r="Q35">
        <f t="shared" ref="Q35:Q40" si="28">(O35-P35)/S35</f>
        <v>0.74145006839945282</v>
      </c>
      <c r="R35" s="1">
        <f t="shared" ref="R35:R40" si="29">1-Q35</f>
        <v>0.25854993160054718</v>
      </c>
      <c r="S35">
        <v>0.73099999999999998</v>
      </c>
    </row>
    <row r="36" spans="1:19" x14ac:dyDescent="0.25">
      <c r="A36">
        <v>300</v>
      </c>
      <c r="B36" s="2">
        <f t="shared" si="24"/>
        <v>3</v>
      </c>
      <c r="C36">
        <v>0.53400000000000003</v>
      </c>
      <c r="D36">
        <v>8.9999999999999993E-3</v>
      </c>
      <c r="E36">
        <f t="shared" si="25"/>
        <v>0.75214899713467054</v>
      </c>
      <c r="F36" s="1">
        <f t="shared" si="26"/>
        <v>0.24785100286532946</v>
      </c>
      <c r="G36">
        <v>0.69799999999999995</v>
      </c>
      <c r="M36">
        <v>300</v>
      </c>
      <c r="N36" s="2">
        <f t="shared" si="27"/>
        <v>3</v>
      </c>
      <c r="O36">
        <v>0.57299999999999995</v>
      </c>
      <c r="P36">
        <v>8.4000000000000005E-2</v>
      </c>
      <c r="Q36">
        <f t="shared" si="28"/>
        <v>0.66894664842681251</v>
      </c>
      <c r="R36" s="1">
        <f t="shared" si="29"/>
        <v>0.33105335157318749</v>
      </c>
      <c r="S36">
        <v>0.73099999999999998</v>
      </c>
    </row>
    <row r="37" spans="1:19" x14ac:dyDescent="0.25">
      <c r="A37">
        <v>400</v>
      </c>
      <c r="B37" s="2">
        <f t="shared" si="24"/>
        <v>4</v>
      </c>
      <c r="C37">
        <v>0.48</v>
      </c>
      <c r="D37">
        <v>3.5000000000000003E-2</v>
      </c>
      <c r="E37">
        <f t="shared" si="25"/>
        <v>0.63753581661891112</v>
      </c>
      <c r="F37" s="1">
        <f t="shared" si="26"/>
        <v>0.36246418338108888</v>
      </c>
      <c r="G37">
        <v>0.69799999999999995</v>
      </c>
      <c r="M37">
        <v>400</v>
      </c>
      <c r="N37" s="2">
        <f t="shared" si="27"/>
        <v>4</v>
      </c>
      <c r="O37">
        <v>0.56399999999999995</v>
      </c>
      <c r="P37">
        <v>9.4E-2</v>
      </c>
      <c r="Q37">
        <f t="shared" si="28"/>
        <v>0.64295485636114913</v>
      </c>
      <c r="R37" s="1">
        <f t="shared" si="29"/>
        <v>0.35704514363885087</v>
      </c>
      <c r="S37">
        <v>0.73099999999999998</v>
      </c>
    </row>
    <row r="38" spans="1:19" x14ac:dyDescent="0.25">
      <c r="A38">
        <v>500</v>
      </c>
      <c r="B38" s="2">
        <f t="shared" si="24"/>
        <v>5</v>
      </c>
      <c r="C38">
        <v>0.47299999999999998</v>
      </c>
      <c r="D38">
        <v>5.0999999999999997E-2</v>
      </c>
      <c r="E38">
        <f t="shared" si="25"/>
        <v>0.60458452722063039</v>
      </c>
      <c r="F38" s="1">
        <f t="shared" si="26"/>
        <v>0.39541547277936961</v>
      </c>
      <c r="G38">
        <v>0.69799999999999995</v>
      </c>
      <c r="M38">
        <v>500</v>
      </c>
      <c r="N38" s="2">
        <f t="shared" si="27"/>
        <v>5</v>
      </c>
      <c r="O38">
        <v>0.51900000000000002</v>
      </c>
      <c r="P38">
        <v>0.1</v>
      </c>
      <c r="Q38">
        <f t="shared" si="28"/>
        <v>0.57318741450068411</v>
      </c>
      <c r="R38" s="1">
        <f t="shared" si="29"/>
        <v>0.42681258549931589</v>
      </c>
      <c r="S38">
        <v>0.73099999999999998</v>
      </c>
    </row>
    <row r="39" spans="1:19" x14ac:dyDescent="0.25">
      <c r="A39">
        <v>600</v>
      </c>
      <c r="B39" s="2">
        <f t="shared" si="24"/>
        <v>6</v>
      </c>
      <c r="C39">
        <v>0.45300000000000001</v>
      </c>
      <c r="D39">
        <v>7.1999999999999995E-2</v>
      </c>
      <c r="E39">
        <f t="shared" si="25"/>
        <v>0.54584527220630374</v>
      </c>
      <c r="F39" s="1">
        <f t="shared" si="26"/>
        <v>0.45415472779369626</v>
      </c>
      <c r="G39">
        <v>0.69799999999999995</v>
      </c>
      <c r="M39">
        <v>600</v>
      </c>
      <c r="N39" s="2">
        <f t="shared" si="27"/>
        <v>6</v>
      </c>
      <c r="O39">
        <v>0.48399999999999999</v>
      </c>
      <c r="P39">
        <v>0.125</v>
      </c>
      <c r="Q39">
        <f t="shared" si="28"/>
        <v>0.49110807113543092</v>
      </c>
      <c r="R39" s="1">
        <f t="shared" si="29"/>
        <v>0.50889192886456902</v>
      </c>
      <c r="S39">
        <v>0.73099999999999998</v>
      </c>
    </row>
    <row r="40" spans="1:19" x14ac:dyDescent="0.25">
      <c r="A40">
        <v>700</v>
      </c>
      <c r="B40" s="2">
        <f t="shared" si="24"/>
        <v>7</v>
      </c>
      <c r="C40">
        <v>0.36299999999999999</v>
      </c>
      <c r="D40">
        <v>8.3000000000000004E-2</v>
      </c>
      <c r="E40">
        <f t="shared" si="25"/>
        <v>0.40114613180515757</v>
      </c>
      <c r="F40" s="1">
        <f t="shared" si="26"/>
        <v>0.59885386819484243</v>
      </c>
      <c r="G40">
        <v>0.69799999999999995</v>
      </c>
      <c r="M40">
        <v>700</v>
      </c>
      <c r="N40" s="2">
        <f t="shared" si="27"/>
        <v>7</v>
      </c>
      <c r="O40">
        <v>0.47099999999999997</v>
      </c>
      <c r="P40">
        <v>0.14000000000000001</v>
      </c>
      <c r="Q40">
        <f t="shared" si="28"/>
        <v>0.45280437756497943</v>
      </c>
      <c r="R40" s="1">
        <f t="shared" si="29"/>
        <v>0.54719562243502051</v>
      </c>
      <c r="S40">
        <v>0.73099999999999998</v>
      </c>
    </row>
    <row r="41" spans="1:19" x14ac:dyDescent="0.25">
      <c r="A41" t="s">
        <v>11</v>
      </c>
      <c r="M41" t="s">
        <v>12</v>
      </c>
    </row>
    <row r="42" spans="1:19" x14ac:dyDescent="0.25">
      <c r="A42" t="s">
        <v>40</v>
      </c>
      <c r="B42" t="s">
        <v>39</v>
      </c>
      <c r="C42" t="s">
        <v>1</v>
      </c>
      <c r="D42" t="s">
        <v>3</v>
      </c>
      <c r="F42" s="1" t="s">
        <v>37</v>
      </c>
      <c r="G42" t="s">
        <v>13</v>
      </c>
      <c r="M42" t="s">
        <v>40</v>
      </c>
      <c r="N42" t="s">
        <v>39</v>
      </c>
      <c r="O42" t="s">
        <v>1</v>
      </c>
      <c r="P42" t="s">
        <v>3</v>
      </c>
      <c r="R42" s="1" t="s">
        <v>37</v>
      </c>
      <c r="S42" t="s">
        <v>13</v>
      </c>
    </row>
    <row r="43" spans="1:19" x14ac:dyDescent="0.25">
      <c r="A43">
        <v>200</v>
      </c>
      <c r="B43" s="2">
        <f t="shared" ref="B43:B48" si="30">A43/100</f>
        <v>2</v>
      </c>
      <c r="C43">
        <v>0.55900000000000005</v>
      </c>
      <c r="D43">
        <v>-6.0000000000000001E-3</v>
      </c>
      <c r="E43">
        <f t="shared" ref="E43:E48" si="31">(C43-D43)/G43</f>
        <v>0.91129032258064524</v>
      </c>
      <c r="F43" s="1">
        <f t="shared" ref="F43:F48" si="32">1-E43</f>
        <v>8.870967741935476E-2</v>
      </c>
      <c r="G43">
        <v>0.62</v>
      </c>
      <c r="M43">
        <v>200</v>
      </c>
      <c r="N43" s="2">
        <f t="shared" ref="N43:N48" si="33">M43/100</f>
        <v>2</v>
      </c>
      <c r="O43">
        <v>0.65800000000000003</v>
      </c>
      <c r="P43">
        <v>7.8E-2</v>
      </c>
      <c r="Q43">
        <f t="shared" ref="Q43:Q48" si="34">(O43-P43)/S43</f>
        <v>0.75324675324675328</v>
      </c>
      <c r="R43" s="1">
        <f t="shared" ref="R43:R48" si="35">1-Q43</f>
        <v>0.24675324675324672</v>
      </c>
      <c r="S43">
        <v>0.77</v>
      </c>
    </row>
    <row r="44" spans="1:19" x14ac:dyDescent="0.25">
      <c r="A44">
        <v>300</v>
      </c>
      <c r="B44" s="2">
        <f t="shared" si="30"/>
        <v>3</v>
      </c>
      <c r="C44">
        <v>0.52100000000000002</v>
      </c>
      <c r="D44">
        <v>1.4E-2</v>
      </c>
      <c r="E44">
        <f t="shared" si="31"/>
        <v>0.81774193548387097</v>
      </c>
      <c r="F44" s="1">
        <f t="shared" si="32"/>
        <v>0.18225806451612903</v>
      </c>
      <c r="G44">
        <v>0.62</v>
      </c>
      <c r="M44">
        <v>300</v>
      </c>
      <c r="N44" s="2">
        <f t="shared" si="33"/>
        <v>3</v>
      </c>
      <c r="O44">
        <v>0.63300000000000001</v>
      </c>
      <c r="P44">
        <v>0.105</v>
      </c>
      <c r="Q44">
        <f t="shared" si="34"/>
        <v>0.68571428571428572</v>
      </c>
      <c r="R44" s="1">
        <f t="shared" si="35"/>
        <v>0.31428571428571428</v>
      </c>
      <c r="S44">
        <v>0.77</v>
      </c>
    </row>
    <row r="45" spans="1:19" x14ac:dyDescent="0.25">
      <c r="A45">
        <v>400</v>
      </c>
      <c r="B45" s="2">
        <f t="shared" si="30"/>
        <v>4</v>
      </c>
      <c r="C45">
        <v>0.47499999999999998</v>
      </c>
      <c r="D45">
        <v>3.5000000000000003E-2</v>
      </c>
      <c r="E45">
        <f t="shared" si="31"/>
        <v>0.70967741935483863</v>
      </c>
      <c r="F45" s="1">
        <f t="shared" si="32"/>
        <v>0.29032258064516137</v>
      </c>
      <c r="G45">
        <v>0.62</v>
      </c>
      <c r="M45">
        <v>400</v>
      </c>
      <c r="N45" s="2">
        <f t="shared" si="33"/>
        <v>4</v>
      </c>
      <c r="O45">
        <v>0.59199999999999997</v>
      </c>
      <c r="P45">
        <v>0.122</v>
      </c>
      <c r="Q45">
        <f t="shared" si="34"/>
        <v>0.61038961038961037</v>
      </c>
      <c r="R45" s="1">
        <f t="shared" si="35"/>
        <v>0.38961038961038963</v>
      </c>
      <c r="S45">
        <v>0.77</v>
      </c>
    </row>
    <row r="46" spans="1:19" x14ac:dyDescent="0.25">
      <c r="A46">
        <v>500</v>
      </c>
      <c r="B46" s="2">
        <f t="shared" si="30"/>
        <v>5</v>
      </c>
      <c r="C46">
        <v>0.42599999999999999</v>
      </c>
      <c r="D46">
        <v>6.2E-2</v>
      </c>
      <c r="E46">
        <f t="shared" si="31"/>
        <v>0.58709677419354833</v>
      </c>
      <c r="F46" s="1">
        <f t="shared" si="32"/>
        <v>0.41290322580645167</v>
      </c>
      <c r="G46">
        <v>0.62</v>
      </c>
      <c r="M46">
        <v>500</v>
      </c>
      <c r="N46" s="2">
        <f t="shared" si="33"/>
        <v>5</v>
      </c>
      <c r="O46">
        <v>0.57199999999999995</v>
      </c>
      <c r="P46">
        <v>0.14899999999999999</v>
      </c>
      <c r="Q46">
        <f t="shared" si="34"/>
        <v>0.54935064935064926</v>
      </c>
      <c r="R46" s="1">
        <f t="shared" si="35"/>
        <v>0.45064935064935074</v>
      </c>
      <c r="S46">
        <v>0.77</v>
      </c>
    </row>
    <row r="47" spans="1:19" x14ac:dyDescent="0.25">
      <c r="A47">
        <v>600</v>
      </c>
      <c r="B47" s="2">
        <f t="shared" si="30"/>
        <v>6</v>
      </c>
      <c r="C47">
        <v>0.40699999999999997</v>
      </c>
      <c r="D47">
        <v>8.5000000000000006E-2</v>
      </c>
      <c r="E47">
        <f t="shared" si="31"/>
        <v>0.51935483870967736</v>
      </c>
      <c r="F47" s="1">
        <f t="shared" si="32"/>
        <v>0.48064516129032264</v>
      </c>
      <c r="G47">
        <v>0.62</v>
      </c>
      <c r="M47">
        <v>600</v>
      </c>
      <c r="N47" s="2">
        <f t="shared" si="33"/>
        <v>6</v>
      </c>
      <c r="O47">
        <v>0.52300000000000002</v>
      </c>
      <c r="P47">
        <v>0.17100000000000001</v>
      </c>
      <c r="Q47">
        <f t="shared" si="34"/>
        <v>0.45714285714285713</v>
      </c>
      <c r="R47" s="1">
        <f t="shared" si="35"/>
        <v>0.54285714285714293</v>
      </c>
      <c r="S47">
        <v>0.77</v>
      </c>
    </row>
    <row r="48" spans="1:19" x14ac:dyDescent="0.25">
      <c r="A48">
        <v>700</v>
      </c>
      <c r="B48" s="2">
        <f t="shared" si="30"/>
        <v>7</v>
      </c>
      <c r="C48">
        <v>0.376</v>
      </c>
      <c r="D48">
        <v>0.111</v>
      </c>
      <c r="E48">
        <f t="shared" si="31"/>
        <v>0.42741935483870969</v>
      </c>
      <c r="F48" s="1">
        <f t="shared" si="32"/>
        <v>0.57258064516129026</v>
      </c>
      <c r="G48">
        <v>0.62</v>
      </c>
      <c r="M48">
        <v>700</v>
      </c>
      <c r="N48" s="2">
        <f t="shared" si="33"/>
        <v>7</v>
      </c>
      <c r="O48">
        <v>0.504</v>
      </c>
      <c r="P48">
        <v>0.19400000000000001</v>
      </c>
      <c r="Q48">
        <f t="shared" si="34"/>
        <v>0.40259740259740256</v>
      </c>
      <c r="R48" s="1">
        <f t="shared" si="35"/>
        <v>0.59740259740259738</v>
      </c>
      <c r="S48">
        <v>0.77</v>
      </c>
    </row>
    <row r="49" spans="1:19" x14ac:dyDescent="0.25">
      <c r="A49" t="s">
        <v>22</v>
      </c>
      <c r="M49" t="s">
        <v>23</v>
      </c>
    </row>
    <row r="50" spans="1:19" x14ac:dyDescent="0.25">
      <c r="A50" t="s">
        <v>40</v>
      </c>
      <c r="B50" t="s">
        <v>39</v>
      </c>
      <c r="C50" t="s">
        <v>1</v>
      </c>
      <c r="D50" t="s">
        <v>3</v>
      </c>
      <c r="F50" s="1" t="s">
        <v>37</v>
      </c>
      <c r="G50" t="s">
        <v>13</v>
      </c>
      <c r="M50" t="s">
        <v>40</v>
      </c>
      <c r="N50" t="s">
        <v>39</v>
      </c>
      <c r="O50" t="s">
        <v>1</v>
      </c>
      <c r="P50" t="s">
        <v>3</v>
      </c>
      <c r="R50" s="1" t="s">
        <v>37</v>
      </c>
      <c r="S50" t="s">
        <v>13</v>
      </c>
    </row>
    <row r="51" spans="1:19" x14ac:dyDescent="0.25">
      <c r="A51">
        <v>200</v>
      </c>
      <c r="B51" s="2">
        <f t="shared" ref="B51:B56" si="36">A51/100</f>
        <v>2</v>
      </c>
      <c r="C51">
        <v>0.65500000000000003</v>
      </c>
      <c r="D51">
        <v>8.5000000000000006E-2</v>
      </c>
      <c r="E51">
        <f t="shared" ref="E51:E56" si="37">(C51-D51)/G51</f>
        <v>0.74412532637075723</v>
      </c>
      <c r="F51" s="1">
        <f t="shared" ref="F51:F56" si="38">1-E51</f>
        <v>0.25587467362924277</v>
      </c>
      <c r="G51">
        <v>0.76600000000000001</v>
      </c>
      <c r="M51">
        <v>200</v>
      </c>
      <c r="N51" s="2">
        <f t="shared" ref="N51:N56" si="39">M51/100</f>
        <v>2</v>
      </c>
      <c r="O51">
        <v>0.60799999999999998</v>
      </c>
      <c r="P51">
        <v>5.8999999999999997E-2</v>
      </c>
      <c r="Q51">
        <f t="shared" ref="Q51:Q56" si="40">(O51-P51)/S51</f>
        <v>0.70114942528735624</v>
      </c>
      <c r="R51" s="1">
        <f t="shared" ref="R51:R56" si="41">1-Q51</f>
        <v>0.29885057471264376</v>
      </c>
      <c r="S51">
        <v>0.78300000000000003</v>
      </c>
    </row>
    <row r="52" spans="1:19" x14ac:dyDescent="0.25">
      <c r="A52">
        <v>300</v>
      </c>
      <c r="B52" s="2">
        <f t="shared" si="36"/>
        <v>3</v>
      </c>
      <c r="C52">
        <v>0.63900000000000001</v>
      </c>
      <c r="D52">
        <v>0.10100000000000001</v>
      </c>
      <c r="E52">
        <f t="shared" si="37"/>
        <v>0.7023498694516972</v>
      </c>
      <c r="F52" s="1">
        <f t="shared" si="38"/>
        <v>0.2976501305483028</v>
      </c>
      <c r="G52">
        <v>0.76600000000000001</v>
      </c>
      <c r="M52">
        <v>300</v>
      </c>
      <c r="N52" s="2">
        <f t="shared" si="39"/>
        <v>3</v>
      </c>
      <c r="O52">
        <v>0.56699999999999995</v>
      </c>
      <c r="P52">
        <v>8.6999999999999994E-2</v>
      </c>
      <c r="Q52">
        <f t="shared" si="40"/>
        <v>0.6130268199233716</v>
      </c>
      <c r="R52" s="1">
        <f t="shared" si="41"/>
        <v>0.3869731800766284</v>
      </c>
      <c r="S52">
        <v>0.78300000000000003</v>
      </c>
    </row>
    <row r="53" spans="1:19" x14ac:dyDescent="0.25">
      <c r="A53">
        <v>400</v>
      </c>
      <c r="B53" s="2">
        <f t="shared" si="36"/>
        <v>4</v>
      </c>
      <c r="C53">
        <v>0.59199999999999997</v>
      </c>
      <c r="D53">
        <v>0.122</v>
      </c>
      <c r="E53">
        <f t="shared" si="37"/>
        <v>0.61357702349869447</v>
      </c>
      <c r="F53" s="1">
        <f t="shared" si="38"/>
        <v>0.38642297650130553</v>
      </c>
      <c r="G53">
        <v>0.76600000000000001</v>
      </c>
      <c r="M53">
        <v>400</v>
      </c>
      <c r="N53" s="2">
        <f t="shared" si="39"/>
        <v>4</v>
      </c>
      <c r="O53">
        <v>0.45500000000000002</v>
      </c>
      <c r="P53">
        <v>0.123</v>
      </c>
      <c r="Q53">
        <f t="shared" si="40"/>
        <v>0.42401021711366538</v>
      </c>
      <c r="R53" s="1">
        <f t="shared" si="41"/>
        <v>0.57598978288633462</v>
      </c>
      <c r="S53">
        <v>0.78300000000000003</v>
      </c>
    </row>
    <row r="54" spans="1:19" x14ac:dyDescent="0.25">
      <c r="A54">
        <v>500</v>
      </c>
      <c r="B54" s="2">
        <f t="shared" si="36"/>
        <v>5</v>
      </c>
      <c r="C54">
        <v>0.56999999999999995</v>
      </c>
      <c r="D54">
        <v>0.15</v>
      </c>
      <c r="E54">
        <f t="shared" si="37"/>
        <v>0.54830287206266304</v>
      </c>
      <c r="F54" s="1">
        <f t="shared" si="38"/>
        <v>0.45169712793733696</v>
      </c>
      <c r="G54">
        <v>0.76600000000000001</v>
      </c>
      <c r="M54">
        <v>500</v>
      </c>
      <c r="N54" s="2">
        <f t="shared" si="39"/>
        <v>5</v>
      </c>
      <c r="O54">
        <v>0.47299999999999998</v>
      </c>
      <c r="P54">
        <v>0.14599999999999999</v>
      </c>
      <c r="Q54">
        <f t="shared" si="40"/>
        <v>0.41762452107279685</v>
      </c>
      <c r="R54" s="1">
        <f t="shared" si="41"/>
        <v>0.58237547892720309</v>
      </c>
      <c r="S54">
        <v>0.78300000000000003</v>
      </c>
    </row>
    <row r="55" spans="1:19" x14ac:dyDescent="0.25">
      <c r="A55">
        <v>600</v>
      </c>
      <c r="B55" s="2">
        <f t="shared" si="36"/>
        <v>6</v>
      </c>
      <c r="C55">
        <v>0.52800000000000002</v>
      </c>
      <c r="D55">
        <v>0.16700000000000001</v>
      </c>
      <c r="E55">
        <f t="shared" si="37"/>
        <v>0.47127937336814618</v>
      </c>
      <c r="F55" s="1">
        <f t="shared" si="38"/>
        <v>0.52872062663185382</v>
      </c>
      <c r="G55">
        <v>0.76600000000000001</v>
      </c>
      <c r="M55">
        <v>600</v>
      </c>
      <c r="N55" s="2">
        <f t="shared" si="39"/>
        <v>6</v>
      </c>
      <c r="O55">
        <v>0.4</v>
      </c>
      <c r="P55">
        <v>0.17899999999999999</v>
      </c>
      <c r="Q55">
        <f t="shared" si="40"/>
        <v>0.28224776500638571</v>
      </c>
      <c r="R55" s="1">
        <f t="shared" si="41"/>
        <v>0.71775223499361429</v>
      </c>
      <c r="S55">
        <v>0.78300000000000003</v>
      </c>
    </row>
    <row r="56" spans="1:19" x14ac:dyDescent="0.25">
      <c r="A56">
        <v>700</v>
      </c>
      <c r="B56" s="2">
        <f t="shared" si="36"/>
        <v>7</v>
      </c>
      <c r="C56">
        <v>0.48699999999999999</v>
      </c>
      <c r="D56">
        <v>0.188</v>
      </c>
      <c r="E56">
        <f t="shared" si="37"/>
        <v>0.39033942558746731</v>
      </c>
      <c r="F56" s="1">
        <f t="shared" si="38"/>
        <v>0.60966057441253274</v>
      </c>
      <c r="G56">
        <v>0.76600000000000001</v>
      </c>
      <c r="M56">
        <v>700</v>
      </c>
      <c r="N56" s="2">
        <f t="shared" si="39"/>
        <v>7</v>
      </c>
      <c r="O56">
        <v>0.39600000000000002</v>
      </c>
      <c r="P56">
        <v>0.19800000000000001</v>
      </c>
      <c r="Q56">
        <f t="shared" si="40"/>
        <v>0.25287356321839083</v>
      </c>
      <c r="R56" s="1">
        <f t="shared" si="41"/>
        <v>0.74712643678160917</v>
      </c>
      <c r="S56">
        <v>0.78300000000000003</v>
      </c>
    </row>
    <row r="57" spans="1:19" x14ac:dyDescent="0.25">
      <c r="A57" t="s">
        <v>34</v>
      </c>
      <c r="M57" t="s">
        <v>19</v>
      </c>
    </row>
    <row r="58" spans="1:19" x14ac:dyDescent="0.25">
      <c r="A58" t="s">
        <v>40</v>
      </c>
      <c r="B58" t="s">
        <v>39</v>
      </c>
      <c r="C58" t="s">
        <v>2</v>
      </c>
      <c r="D58" t="s">
        <v>4</v>
      </c>
      <c r="F58" s="1" t="s">
        <v>37</v>
      </c>
      <c r="G58" t="s">
        <v>14</v>
      </c>
      <c r="M58" t="s">
        <v>40</v>
      </c>
      <c r="N58" t="s">
        <v>39</v>
      </c>
      <c r="O58" t="s">
        <v>1</v>
      </c>
      <c r="P58" t="s">
        <v>3</v>
      </c>
      <c r="R58" s="1" t="s">
        <v>37</v>
      </c>
      <c r="S58" t="s">
        <v>13</v>
      </c>
    </row>
    <row r="59" spans="1:19" x14ac:dyDescent="0.25">
      <c r="A59">
        <v>200</v>
      </c>
      <c r="B59" s="2">
        <f t="shared" ref="B59:B64" si="42">A59/100</f>
        <v>2</v>
      </c>
      <c r="C59">
        <v>0.55000000000000004</v>
      </c>
      <c r="D59">
        <v>0.13400000000000001</v>
      </c>
      <c r="E59">
        <f t="shared" ref="E59:E64" si="43">(C59-D59)/G59</f>
        <v>0.56064690026954178</v>
      </c>
      <c r="F59" s="4">
        <f t="shared" ref="F59:F64" si="44">1-E59</f>
        <v>0.43935309973045822</v>
      </c>
      <c r="G59">
        <v>0.74199999999999999</v>
      </c>
      <c r="M59">
        <v>200</v>
      </c>
      <c r="N59" s="2">
        <f t="shared" ref="N59:N64" si="45">M59/100</f>
        <v>2</v>
      </c>
      <c r="O59">
        <v>0.66200000000000003</v>
      </c>
      <c r="P59">
        <v>0.14899999999999999</v>
      </c>
      <c r="Q59">
        <f t="shared" ref="Q59:Q64" si="46">(O59-P59)/S59</f>
        <v>0.62560975609756098</v>
      </c>
      <c r="R59" s="1">
        <f t="shared" ref="R59:R64" si="47">1-Q59</f>
        <v>0.37439024390243902</v>
      </c>
      <c r="S59">
        <v>0.82</v>
      </c>
    </row>
    <row r="60" spans="1:19" x14ac:dyDescent="0.25">
      <c r="A60">
        <v>300</v>
      </c>
      <c r="B60" s="2">
        <f t="shared" si="42"/>
        <v>3</v>
      </c>
      <c r="C60">
        <v>0.45100000000000001</v>
      </c>
      <c r="D60">
        <v>0.156</v>
      </c>
      <c r="E60">
        <f t="shared" si="43"/>
        <v>0.39757412398921838</v>
      </c>
      <c r="F60" s="4">
        <f t="shared" si="44"/>
        <v>0.60242587601078168</v>
      </c>
      <c r="G60">
        <v>0.74199999999999999</v>
      </c>
      <c r="M60">
        <v>300</v>
      </c>
      <c r="N60" s="2">
        <f t="shared" si="45"/>
        <v>3</v>
      </c>
      <c r="O60">
        <v>0.626</v>
      </c>
      <c r="P60">
        <v>0.2</v>
      </c>
      <c r="Q60">
        <f t="shared" si="46"/>
        <v>0.51951219512195124</v>
      </c>
      <c r="R60" s="1">
        <f t="shared" si="47"/>
        <v>0.48048780487804876</v>
      </c>
      <c r="S60">
        <v>0.82</v>
      </c>
    </row>
    <row r="61" spans="1:19" x14ac:dyDescent="0.25">
      <c r="A61">
        <v>400</v>
      </c>
      <c r="B61" s="2">
        <f t="shared" si="42"/>
        <v>4</v>
      </c>
      <c r="C61">
        <v>0.42699999999999999</v>
      </c>
      <c r="D61">
        <v>0.17599999999999999</v>
      </c>
      <c r="E61">
        <f t="shared" si="43"/>
        <v>0.33827493261455527</v>
      </c>
      <c r="F61" s="4">
        <f t="shared" si="44"/>
        <v>0.66172506738544468</v>
      </c>
      <c r="G61">
        <v>0.74199999999999999</v>
      </c>
      <c r="M61">
        <v>400</v>
      </c>
      <c r="N61" s="2">
        <f t="shared" si="45"/>
        <v>4</v>
      </c>
      <c r="O61">
        <v>0.55300000000000005</v>
      </c>
      <c r="P61">
        <v>0.215</v>
      </c>
      <c r="Q61">
        <f t="shared" si="46"/>
        <v>0.41219512195121966</v>
      </c>
      <c r="R61" s="1">
        <f t="shared" si="47"/>
        <v>0.58780487804878034</v>
      </c>
      <c r="S61">
        <v>0.82</v>
      </c>
    </row>
    <row r="62" spans="1:19" x14ac:dyDescent="0.25">
      <c r="A62">
        <v>500</v>
      </c>
      <c r="B62" s="2">
        <f t="shared" si="42"/>
        <v>5</v>
      </c>
      <c r="C62">
        <v>0.41099999999999998</v>
      </c>
      <c r="D62">
        <v>0.2</v>
      </c>
      <c r="E62">
        <f t="shared" si="43"/>
        <v>0.28436657681940697</v>
      </c>
      <c r="F62" s="4">
        <f t="shared" si="44"/>
        <v>0.71563342318059298</v>
      </c>
      <c r="G62">
        <v>0.74199999999999999</v>
      </c>
      <c r="M62">
        <v>500</v>
      </c>
      <c r="N62" s="2">
        <f t="shared" si="45"/>
        <v>5</v>
      </c>
      <c r="O62">
        <v>0.47599999999999998</v>
      </c>
      <c r="P62">
        <v>0.23200000000000001</v>
      </c>
      <c r="Q62">
        <f t="shared" si="46"/>
        <v>0.29756097560975608</v>
      </c>
      <c r="R62" s="1">
        <f t="shared" si="47"/>
        <v>0.70243902439024386</v>
      </c>
      <c r="S62">
        <v>0.82</v>
      </c>
    </row>
    <row r="63" spans="1:19" x14ac:dyDescent="0.25">
      <c r="A63">
        <v>600</v>
      </c>
      <c r="B63" s="2">
        <f t="shared" si="42"/>
        <v>6</v>
      </c>
      <c r="C63">
        <v>0.379</v>
      </c>
      <c r="D63">
        <v>0.19800000000000001</v>
      </c>
      <c r="E63">
        <f t="shared" si="43"/>
        <v>0.24393530997304583</v>
      </c>
      <c r="F63" s="4">
        <f t="shared" si="44"/>
        <v>0.7560646900269542</v>
      </c>
      <c r="G63">
        <v>0.74199999999999999</v>
      </c>
      <c r="M63">
        <v>600</v>
      </c>
      <c r="N63" s="2">
        <f t="shared" si="45"/>
        <v>6</v>
      </c>
      <c r="O63">
        <v>0.46899999999999997</v>
      </c>
      <c r="P63">
        <v>0.24099999999999999</v>
      </c>
      <c r="Q63">
        <f t="shared" si="46"/>
        <v>0.27804878048780485</v>
      </c>
      <c r="R63" s="1">
        <f t="shared" si="47"/>
        <v>0.7219512195121951</v>
      </c>
      <c r="S63">
        <v>0.82</v>
      </c>
    </row>
    <row r="64" spans="1:19" x14ac:dyDescent="0.25">
      <c r="A64">
        <v>700</v>
      </c>
      <c r="B64" s="2">
        <f t="shared" si="42"/>
        <v>7</v>
      </c>
      <c r="C64">
        <v>0.38700000000000001</v>
      </c>
      <c r="D64">
        <v>0.25800000000000001</v>
      </c>
      <c r="E64">
        <f t="shared" si="43"/>
        <v>0.1738544474393531</v>
      </c>
      <c r="F64" s="4">
        <f t="shared" si="44"/>
        <v>0.82614555256064692</v>
      </c>
      <c r="G64">
        <v>0.74199999999999999</v>
      </c>
      <c r="M64">
        <v>700</v>
      </c>
      <c r="N64" s="2">
        <f t="shared" si="45"/>
        <v>7</v>
      </c>
      <c r="O64">
        <v>0.47</v>
      </c>
      <c r="P64">
        <v>0.25600000000000001</v>
      </c>
      <c r="Q64">
        <f t="shared" si="46"/>
        <v>0.26097560975609752</v>
      </c>
      <c r="R64" s="1">
        <f t="shared" si="47"/>
        <v>0.73902439024390243</v>
      </c>
      <c r="S64">
        <v>0.82</v>
      </c>
    </row>
    <row r="65" spans="1:19" x14ac:dyDescent="0.25">
      <c r="A65" t="s">
        <v>20</v>
      </c>
      <c r="M65" t="s">
        <v>35</v>
      </c>
    </row>
    <row r="66" spans="1:19" x14ac:dyDescent="0.25">
      <c r="A66" t="s">
        <v>40</v>
      </c>
      <c r="B66" t="s">
        <v>39</v>
      </c>
      <c r="C66" t="s">
        <v>2</v>
      </c>
      <c r="D66" t="s">
        <v>4</v>
      </c>
      <c r="F66" s="1" t="s">
        <v>37</v>
      </c>
      <c r="G66" t="s">
        <v>14</v>
      </c>
      <c r="M66" t="s">
        <v>40</v>
      </c>
      <c r="N66" t="s">
        <v>39</v>
      </c>
      <c r="O66" t="s">
        <v>1</v>
      </c>
      <c r="P66" t="s">
        <v>3</v>
      </c>
      <c r="R66" s="1" t="s">
        <v>37</v>
      </c>
      <c r="S66" t="s">
        <v>13</v>
      </c>
    </row>
    <row r="67" spans="1:19" x14ac:dyDescent="0.25">
      <c r="A67">
        <v>500</v>
      </c>
      <c r="B67" s="2">
        <f t="shared" ref="B67:B72" si="48">A67/100</f>
        <v>5</v>
      </c>
      <c r="C67">
        <v>0.61699999999999999</v>
      </c>
      <c r="D67">
        <v>0.17599999999999999</v>
      </c>
      <c r="E67">
        <f t="shared" ref="E67:E72" si="49">(C67-D67)/G67</f>
        <v>0.51578947368421058</v>
      </c>
      <c r="F67" s="4">
        <f t="shared" ref="F67:F72" si="50">1-E67</f>
        <v>0.48421052631578942</v>
      </c>
      <c r="G67">
        <v>0.85499999999999998</v>
      </c>
      <c r="M67">
        <v>200</v>
      </c>
      <c r="N67" s="2">
        <f t="shared" ref="N67:N72" si="51">M67/100</f>
        <v>2</v>
      </c>
      <c r="O67">
        <v>0.62</v>
      </c>
      <c r="P67">
        <v>6.6000000000000003E-2</v>
      </c>
      <c r="Q67">
        <f t="shared" ref="Q67:Q72" si="52">(O67-P67)/S67</f>
        <v>0.7194805194805195</v>
      </c>
      <c r="R67" s="1">
        <f t="shared" ref="R67:R72" si="53">1-Q67</f>
        <v>0.2805194805194805</v>
      </c>
      <c r="S67">
        <v>0.77</v>
      </c>
    </row>
    <row r="68" spans="1:19" x14ac:dyDescent="0.25">
      <c r="A68">
        <v>550</v>
      </c>
      <c r="B68" s="2">
        <f t="shared" si="48"/>
        <v>5.5</v>
      </c>
      <c r="C68">
        <v>0.56599999999999995</v>
      </c>
      <c r="D68">
        <v>0.19400000000000001</v>
      </c>
      <c r="E68">
        <f t="shared" si="49"/>
        <v>0.43508771929824558</v>
      </c>
      <c r="F68" s="4">
        <f t="shared" si="50"/>
        <v>0.56491228070175437</v>
      </c>
      <c r="G68">
        <v>0.85499999999999998</v>
      </c>
      <c r="M68">
        <v>300</v>
      </c>
      <c r="N68" s="2">
        <f t="shared" si="51"/>
        <v>3</v>
      </c>
      <c r="O68">
        <v>0.56399999999999995</v>
      </c>
      <c r="P68">
        <v>8.7999999999999995E-2</v>
      </c>
      <c r="Q68">
        <f t="shared" si="52"/>
        <v>0.61818181818181817</v>
      </c>
      <c r="R68" s="1">
        <f t="shared" si="53"/>
        <v>0.38181818181818183</v>
      </c>
      <c r="S68">
        <v>0.77</v>
      </c>
    </row>
    <row r="69" spans="1:19" x14ac:dyDescent="0.25">
      <c r="A69">
        <v>600</v>
      </c>
      <c r="B69" s="2">
        <f t="shared" si="48"/>
        <v>6</v>
      </c>
      <c r="C69">
        <v>0.496</v>
      </c>
      <c r="D69">
        <v>0.216</v>
      </c>
      <c r="E69">
        <f t="shared" si="49"/>
        <v>0.3274853801169591</v>
      </c>
      <c r="F69" s="4">
        <f t="shared" si="50"/>
        <v>0.67251461988304095</v>
      </c>
      <c r="G69">
        <v>0.85499999999999998</v>
      </c>
      <c r="M69">
        <v>400</v>
      </c>
      <c r="N69" s="2">
        <f t="shared" si="51"/>
        <v>4</v>
      </c>
      <c r="O69">
        <v>0.52500000000000002</v>
      </c>
      <c r="P69">
        <v>0.107</v>
      </c>
      <c r="Q69">
        <f t="shared" si="52"/>
        <v>0.54285714285714293</v>
      </c>
      <c r="R69" s="1">
        <f t="shared" si="53"/>
        <v>0.45714285714285707</v>
      </c>
      <c r="S69">
        <v>0.77</v>
      </c>
    </row>
    <row r="70" spans="1:19" x14ac:dyDescent="0.25">
      <c r="A70">
        <v>650</v>
      </c>
      <c r="B70" s="2">
        <f t="shared" si="48"/>
        <v>6.5</v>
      </c>
      <c r="C70">
        <v>0.51100000000000001</v>
      </c>
      <c r="D70">
        <v>0.215</v>
      </c>
      <c r="E70">
        <f t="shared" si="49"/>
        <v>0.34619883040935678</v>
      </c>
      <c r="F70" s="4">
        <f t="shared" si="50"/>
        <v>0.65380116959064316</v>
      </c>
      <c r="G70">
        <v>0.85499999999999998</v>
      </c>
      <c r="M70">
        <v>500</v>
      </c>
      <c r="N70" s="2">
        <f t="shared" si="51"/>
        <v>5</v>
      </c>
      <c r="O70">
        <v>0.498</v>
      </c>
      <c r="P70">
        <v>0.125</v>
      </c>
      <c r="Q70">
        <f t="shared" si="52"/>
        <v>0.48441558441558441</v>
      </c>
      <c r="R70" s="1">
        <f t="shared" si="53"/>
        <v>0.51558441558441559</v>
      </c>
      <c r="S70">
        <v>0.77</v>
      </c>
    </row>
    <row r="71" spans="1:19" x14ac:dyDescent="0.25">
      <c r="A71">
        <v>700</v>
      </c>
      <c r="B71" s="2">
        <f t="shared" si="48"/>
        <v>7</v>
      </c>
      <c r="C71">
        <v>0.48799999999999999</v>
      </c>
      <c r="D71">
        <v>0.224</v>
      </c>
      <c r="E71">
        <f t="shared" si="49"/>
        <v>0.30877192982456142</v>
      </c>
      <c r="F71" s="4">
        <f t="shared" si="50"/>
        <v>0.69122807017543852</v>
      </c>
      <c r="G71">
        <v>0.85499999999999998</v>
      </c>
      <c r="M71">
        <v>600</v>
      </c>
      <c r="N71" s="2">
        <f t="shared" si="51"/>
        <v>6</v>
      </c>
      <c r="O71">
        <v>0.45300000000000001</v>
      </c>
      <c r="P71">
        <v>0.13800000000000001</v>
      </c>
      <c r="Q71">
        <f t="shared" si="52"/>
        <v>0.40909090909090906</v>
      </c>
      <c r="R71" s="1">
        <f t="shared" si="53"/>
        <v>0.59090909090909094</v>
      </c>
      <c r="S71">
        <v>0.77</v>
      </c>
    </row>
    <row r="72" spans="1:19" x14ac:dyDescent="0.25">
      <c r="A72">
        <v>750</v>
      </c>
      <c r="B72" s="2">
        <f t="shared" si="48"/>
        <v>7.5</v>
      </c>
      <c r="C72">
        <v>0.47399999999999998</v>
      </c>
      <c r="D72">
        <v>0.24</v>
      </c>
      <c r="E72">
        <f t="shared" si="49"/>
        <v>0.27368421052631575</v>
      </c>
      <c r="F72" s="4">
        <f t="shared" si="50"/>
        <v>0.72631578947368425</v>
      </c>
      <c r="G72">
        <v>0.85499999999999998</v>
      </c>
      <c r="M72">
        <v>700</v>
      </c>
      <c r="N72" s="2">
        <f t="shared" si="51"/>
        <v>7</v>
      </c>
      <c r="O72">
        <v>0.441</v>
      </c>
      <c r="P72">
        <v>0.157</v>
      </c>
      <c r="Q72">
        <f t="shared" si="52"/>
        <v>0.36883116883116884</v>
      </c>
      <c r="R72" s="1">
        <f t="shared" si="53"/>
        <v>0.63116883116883116</v>
      </c>
      <c r="S72">
        <v>0.77</v>
      </c>
    </row>
    <row r="73" spans="1:19" x14ac:dyDescent="0.25">
      <c r="A73" t="s">
        <v>15</v>
      </c>
      <c r="M73" t="s">
        <v>21</v>
      </c>
    </row>
    <row r="74" spans="1:19" x14ac:dyDescent="0.25">
      <c r="A74" t="s">
        <v>40</v>
      </c>
      <c r="B74" t="s">
        <v>39</v>
      </c>
      <c r="C74" t="s">
        <v>1</v>
      </c>
      <c r="D74" t="s">
        <v>3</v>
      </c>
      <c r="F74" s="1" t="s">
        <v>37</v>
      </c>
      <c r="G74" t="s">
        <v>13</v>
      </c>
      <c r="M74" t="s">
        <v>40</v>
      </c>
      <c r="N74" t="s">
        <v>39</v>
      </c>
      <c r="O74" t="s">
        <v>1</v>
      </c>
      <c r="P74" t="s">
        <v>3</v>
      </c>
      <c r="R74" s="1" t="s">
        <v>37</v>
      </c>
      <c r="S74" t="s">
        <v>13</v>
      </c>
    </row>
    <row r="75" spans="1:19" x14ac:dyDescent="0.25">
      <c r="A75">
        <v>200</v>
      </c>
      <c r="B75" s="2">
        <f t="shared" ref="B75:B80" si="54">A75/100</f>
        <v>2</v>
      </c>
      <c r="C75">
        <v>0.46600000000000003</v>
      </c>
      <c r="D75">
        <v>5.6000000000000001E-2</v>
      </c>
      <c r="E75">
        <f t="shared" ref="E75:E80" si="55">(C75-D75)/G75</f>
        <v>0.67103109656301152</v>
      </c>
      <c r="F75" s="4">
        <f t="shared" ref="F75:F80" si="56">1-E75</f>
        <v>0.32896890343698848</v>
      </c>
      <c r="G75">
        <v>0.61099999999999999</v>
      </c>
      <c r="M75">
        <v>200</v>
      </c>
      <c r="N75" s="2">
        <f t="shared" ref="N75:N80" si="57">M75/100</f>
        <v>2</v>
      </c>
      <c r="O75">
        <v>0.67300000000000004</v>
      </c>
      <c r="P75">
        <v>0.13900000000000001</v>
      </c>
      <c r="Q75">
        <f t="shared" ref="Q75:Q80" si="58">(O75-P75)/S75</f>
        <v>0.5920177383592018</v>
      </c>
      <c r="R75" s="1">
        <f t="shared" ref="R75:R80" si="59">1-Q75</f>
        <v>0.4079822616407982</v>
      </c>
      <c r="S75">
        <v>0.90200000000000002</v>
      </c>
    </row>
    <row r="76" spans="1:19" x14ac:dyDescent="0.25">
      <c r="A76">
        <v>300</v>
      </c>
      <c r="B76" s="2">
        <f t="shared" si="54"/>
        <v>3</v>
      </c>
      <c r="C76">
        <v>0.40500000000000003</v>
      </c>
      <c r="D76">
        <v>7.4999999999999997E-2</v>
      </c>
      <c r="E76">
        <f t="shared" si="55"/>
        <v>0.54009819967266781</v>
      </c>
      <c r="F76" s="4">
        <f t="shared" si="56"/>
        <v>0.45990180032733219</v>
      </c>
      <c r="G76">
        <v>0.61099999999999999</v>
      </c>
      <c r="M76">
        <v>300</v>
      </c>
      <c r="N76" s="2">
        <f t="shared" si="57"/>
        <v>3</v>
      </c>
      <c r="O76">
        <v>0.59299999999999997</v>
      </c>
      <c r="P76">
        <v>0.16400000000000001</v>
      </c>
      <c r="Q76">
        <f t="shared" si="58"/>
        <v>0.4756097560975609</v>
      </c>
      <c r="R76" s="1">
        <f t="shared" si="59"/>
        <v>0.52439024390243905</v>
      </c>
      <c r="S76">
        <v>0.90200000000000002</v>
      </c>
    </row>
    <row r="77" spans="1:19" x14ac:dyDescent="0.25">
      <c r="A77">
        <v>400</v>
      </c>
      <c r="B77" s="2">
        <f t="shared" si="54"/>
        <v>4</v>
      </c>
      <c r="C77">
        <v>0.39200000000000002</v>
      </c>
      <c r="D77">
        <v>9.1999999999999998E-2</v>
      </c>
      <c r="E77">
        <f t="shared" si="55"/>
        <v>0.49099836333878893</v>
      </c>
      <c r="F77" s="4">
        <f t="shared" si="56"/>
        <v>0.50900163666121112</v>
      </c>
      <c r="G77">
        <v>0.61099999999999999</v>
      </c>
      <c r="M77">
        <v>400</v>
      </c>
      <c r="N77" s="2">
        <f t="shared" si="57"/>
        <v>4</v>
      </c>
      <c r="O77">
        <v>0.56200000000000006</v>
      </c>
      <c r="P77">
        <v>0.184</v>
      </c>
      <c r="Q77">
        <f t="shared" si="58"/>
        <v>0.41906873614190693</v>
      </c>
      <c r="R77" s="1">
        <f t="shared" si="59"/>
        <v>0.58093126385809302</v>
      </c>
      <c r="S77">
        <v>0.90200000000000002</v>
      </c>
    </row>
    <row r="78" spans="1:19" x14ac:dyDescent="0.25">
      <c r="A78">
        <v>500</v>
      </c>
      <c r="B78" s="2">
        <f t="shared" si="54"/>
        <v>5</v>
      </c>
      <c r="C78">
        <v>0.33300000000000002</v>
      </c>
      <c r="D78">
        <v>0.115</v>
      </c>
      <c r="E78">
        <f t="shared" si="55"/>
        <v>0.35679214402618664</v>
      </c>
      <c r="F78" s="4">
        <f t="shared" si="56"/>
        <v>0.64320785597381336</v>
      </c>
      <c r="G78">
        <v>0.61099999999999999</v>
      </c>
      <c r="M78">
        <v>500</v>
      </c>
      <c r="N78" s="2">
        <f t="shared" si="57"/>
        <v>5</v>
      </c>
      <c r="O78">
        <v>0.51100000000000001</v>
      </c>
      <c r="P78">
        <v>0.20899999999999999</v>
      </c>
      <c r="Q78">
        <f t="shared" si="58"/>
        <v>0.33481152993348118</v>
      </c>
      <c r="R78" s="1">
        <f t="shared" si="59"/>
        <v>0.66518847006651882</v>
      </c>
      <c r="S78">
        <v>0.90200000000000002</v>
      </c>
    </row>
    <row r="79" spans="1:19" x14ac:dyDescent="0.25">
      <c r="A79">
        <v>600</v>
      </c>
      <c r="B79" s="2">
        <f t="shared" si="54"/>
        <v>6</v>
      </c>
      <c r="C79">
        <v>0.34100000000000003</v>
      </c>
      <c r="D79">
        <v>0.13800000000000001</v>
      </c>
      <c r="E79">
        <f t="shared" si="55"/>
        <v>0.33224222585924718</v>
      </c>
      <c r="F79" s="4">
        <f t="shared" si="56"/>
        <v>0.66775777414075277</v>
      </c>
      <c r="G79">
        <v>0.61099999999999999</v>
      </c>
      <c r="M79">
        <v>600</v>
      </c>
      <c r="N79" s="2">
        <f t="shared" si="57"/>
        <v>6</v>
      </c>
      <c r="O79">
        <v>0.52200000000000002</v>
      </c>
      <c r="P79">
        <v>0.22900000000000001</v>
      </c>
      <c r="Q79">
        <f t="shared" si="58"/>
        <v>0.32483370288248342</v>
      </c>
      <c r="R79" s="1">
        <f t="shared" si="59"/>
        <v>0.67516629711751652</v>
      </c>
      <c r="S79">
        <v>0.90200000000000002</v>
      </c>
    </row>
    <row r="80" spans="1:19" x14ac:dyDescent="0.25">
      <c r="A80">
        <v>700</v>
      </c>
      <c r="B80" s="2">
        <f t="shared" si="54"/>
        <v>7</v>
      </c>
      <c r="C80">
        <v>0.32</v>
      </c>
      <c r="D80">
        <v>0.152</v>
      </c>
      <c r="E80">
        <f t="shared" si="55"/>
        <v>0.27495908346972181</v>
      </c>
      <c r="F80" s="4">
        <f t="shared" si="56"/>
        <v>0.72504091653027825</v>
      </c>
      <c r="G80">
        <v>0.61099999999999999</v>
      </c>
      <c r="M80">
        <v>700</v>
      </c>
      <c r="N80" s="2">
        <f t="shared" si="57"/>
        <v>7</v>
      </c>
      <c r="O80">
        <v>0.44700000000000001</v>
      </c>
      <c r="P80">
        <v>0.26200000000000001</v>
      </c>
      <c r="Q80">
        <f t="shared" si="58"/>
        <v>0.20509977827050996</v>
      </c>
      <c r="R80" s="1">
        <f t="shared" si="59"/>
        <v>0.79490022172949004</v>
      </c>
      <c r="S80">
        <v>0.90200000000000002</v>
      </c>
    </row>
    <row r="81" spans="1:19" x14ac:dyDescent="0.25">
      <c r="A81" t="s">
        <v>28</v>
      </c>
      <c r="M81" t="s">
        <v>24</v>
      </c>
      <c r="N81" s="2"/>
      <c r="R81" s="4"/>
      <c r="S81" s="5"/>
    </row>
    <row r="82" spans="1:19" x14ac:dyDescent="0.25">
      <c r="A82" t="s">
        <v>40</v>
      </c>
      <c r="B82" t="s">
        <v>39</v>
      </c>
      <c r="C82" t="s">
        <v>1</v>
      </c>
      <c r="D82" t="s">
        <v>3</v>
      </c>
      <c r="F82" s="1" t="s">
        <v>37</v>
      </c>
      <c r="G82" t="s">
        <v>13</v>
      </c>
      <c r="M82" t="s">
        <v>40</v>
      </c>
      <c r="N82" t="s">
        <v>39</v>
      </c>
      <c r="O82" t="s">
        <v>2</v>
      </c>
      <c r="P82" t="s">
        <v>4</v>
      </c>
      <c r="R82" s="1" t="s">
        <v>37</v>
      </c>
      <c r="S82" t="s">
        <v>14</v>
      </c>
    </row>
    <row r="83" spans="1:19" x14ac:dyDescent="0.25">
      <c r="A83">
        <v>200</v>
      </c>
      <c r="B83" s="2">
        <f t="shared" ref="B83:B88" si="60">A83/100</f>
        <v>2</v>
      </c>
      <c r="C83">
        <v>0.51600000000000001</v>
      </c>
      <c r="D83">
        <v>0.11</v>
      </c>
      <c r="E83">
        <f t="shared" ref="E83:E88" si="61">(C83-D83)/G83</f>
        <v>0.53846153846153855</v>
      </c>
      <c r="F83" s="1">
        <f t="shared" ref="F83:F88" si="62">1-E83</f>
        <v>0.46153846153846145</v>
      </c>
      <c r="G83">
        <v>0.754</v>
      </c>
      <c r="M83">
        <v>200</v>
      </c>
      <c r="N83" s="2">
        <f t="shared" ref="N83:N88" si="63">M83/100</f>
        <v>2</v>
      </c>
      <c r="O83">
        <v>0.53400000000000003</v>
      </c>
      <c r="P83">
        <v>9.5000000000000001E-2</v>
      </c>
      <c r="Q83">
        <f t="shared" ref="Q83:Q88" si="64">(O83-P83)/S83</f>
        <v>0.62357954545454553</v>
      </c>
      <c r="R83" s="4">
        <f t="shared" ref="R83:R88" si="65">1-Q83</f>
        <v>0.37642045454545447</v>
      </c>
      <c r="S83">
        <v>0.70399999999999996</v>
      </c>
    </row>
    <row r="84" spans="1:19" x14ac:dyDescent="0.25">
      <c r="A84">
        <v>300</v>
      </c>
      <c r="B84" s="2">
        <f t="shared" si="60"/>
        <v>3</v>
      </c>
      <c r="C84">
        <v>0.497</v>
      </c>
      <c r="D84">
        <v>0.13800000000000001</v>
      </c>
      <c r="E84">
        <f t="shared" si="61"/>
        <v>0.47612732095490712</v>
      </c>
      <c r="F84" s="1">
        <f t="shared" si="62"/>
        <v>0.52387267904509294</v>
      </c>
      <c r="G84">
        <v>0.754</v>
      </c>
      <c r="M84">
        <v>300</v>
      </c>
      <c r="N84" s="2">
        <f t="shared" si="63"/>
        <v>3</v>
      </c>
      <c r="O84">
        <v>0.57199999999999995</v>
      </c>
      <c r="P84">
        <v>0.161</v>
      </c>
      <c r="Q84">
        <f t="shared" si="64"/>
        <v>0.58380681818181812</v>
      </c>
      <c r="R84" s="4">
        <f t="shared" si="65"/>
        <v>0.41619318181818188</v>
      </c>
      <c r="S84">
        <v>0.70399999999999996</v>
      </c>
    </row>
    <row r="85" spans="1:19" x14ac:dyDescent="0.25">
      <c r="A85">
        <v>400</v>
      </c>
      <c r="B85" s="2">
        <f t="shared" si="60"/>
        <v>4</v>
      </c>
      <c r="C85">
        <v>0.51500000000000001</v>
      </c>
      <c r="D85">
        <v>0.154</v>
      </c>
      <c r="E85">
        <f t="shared" si="61"/>
        <v>0.47877984084880637</v>
      </c>
      <c r="F85" s="1">
        <f t="shared" si="62"/>
        <v>0.52122015915119357</v>
      </c>
      <c r="G85">
        <v>0.754</v>
      </c>
      <c r="M85">
        <v>400</v>
      </c>
      <c r="N85" s="2">
        <f t="shared" si="63"/>
        <v>4</v>
      </c>
      <c r="O85">
        <v>0.495</v>
      </c>
      <c r="P85">
        <v>0.17299999999999999</v>
      </c>
      <c r="Q85">
        <f t="shared" si="64"/>
        <v>0.4573863636363637</v>
      </c>
      <c r="R85" s="4">
        <f t="shared" si="65"/>
        <v>0.54261363636363624</v>
      </c>
      <c r="S85">
        <v>0.70399999999999996</v>
      </c>
    </row>
    <row r="86" spans="1:19" x14ac:dyDescent="0.25">
      <c r="A86">
        <v>500</v>
      </c>
      <c r="B86" s="2">
        <f t="shared" si="60"/>
        <v>5</v>
      </c>
      <c r="C86">
        <v>0.44800000000000001</v>
      </c>
      <c r="D86">
        <v>0.187</v>
      </c>
      <c r="E86">
        <f t="shared" si="61"/>
        <v>0.34615384615384615</v>
      </c>
      <c r="F86" s="1">
        <f t="shared" si="62"/>
        <v>0.65384615384615385</v>
      </c>
      <c r="G86">
        <v>0.754</v>
      </c>
      <c r="M86">
        <v>500</v>
      </c>
      <c r="N86" s="2">
        <f t="shared" si="63"/>
        <v>5</v>
      </c>
      <c r="O86">
        <v>0.42799999999999999</v>
      </c>
      <c r="P86">
        <v>0.186</v>
      </c>
      <c r="Q86">
        <f t="shared" si="64"/>
        <v>0.34375</v>
      </c>
      <c r="R86" s="4">
        <f t="shared" si="65"/>
        <v>0.65625</v>
      </c>
      <c r="S86">
        <v>0.70399999999999996</v>
      </c>
    </row>
    <row r="87" spans="1:19" x14ac:dyDescent="0.25">
      <c r="A87">
        <v>600</v>
      </c>
      <c r="B87" s="2">
        <f t="shared" si="60"/>
        <v>6</v>
      </c>
      <c r="C87">
        <v>0.41399999999999998</v>
      </c>
      <c r="D87">
        <v>0.20300000000000001</v>
      </c>
      <c r="E87">
        <f t="shared" si="61"/>
        <v>0.279840848806366</v>
      </c>
      <c r="F87" s="1">
        <f t="shared" si="62"/>
        <v>0.72015915119363405</v>
      </c>
      <c r="G87">
        <v>0.754</v>
      </c>
      <c r="M87">
        <v>600</v>
      </c>
      <c r="N87" s="2">
        <f t="shared" si="63"/>
        <v>6</v>
      </c>
      <c r="O87">
        <v>0.434</v>
      </c>
      <c r="P87">
        <v>0.20200000000000001</v>
      </c>
      <c r="Q87">
        <f t="shared" si="64"/>
        <v>0.32954545454545453</v>
      </c>
      <c r="R87" s="4">
        <f t="shared" si="65"/>
        <v>0.67045454545454541</v>
      </c>
      <c r="S87">
        <v>0.70399999999999996</v>
      </c>
    </row>
    <row r="88" spans="1:19" x14ac:dyDescent="0.25">
      <c r="A88">
        <v>700</v>
      </c>
      <c r="B88" s="2">
        <f t="shared" si="60"/>
        <v>7</v>
      </c>
      <c r="C88">
        <v>0.35699999999999998</v>
      </c>
      <c r="D88">
        <v>0.22500000000000001</v>
      </c>
      <c r="E88">
        <f t="shared" si="61"/>
        <v>0.17506631299734746</v>
      </c>
      <c r="F88" s="1">
        <f t="shared" si="62"/>
        <v>0.82493368700265257</v>
      </c>
      <c r="G88">
        <v>0.754</v>
      </c>
      <c r="M88">
        <v>700</v>
      </c>
      <c r="N88" s="2">
        <f t="shared" si="63"/>
        <v>7</v>
      </c>
      <c r="O88">
        <v>0.443</v>
      </c>
      <c r="P88">
        <v>0.224</v>
      </c>
      <c r="Q88">
        <f t="shared" si="64"/>
        <v>0.31107954545454547</v>
      </c>
      <c r="R88" s="4">
        <f t="shared" si="65"/>
        <v>0.68892045454545459</v>
      </c>
      <c r="S88">
        <v>0.70399999999999996</v>
      </c>
    </row>
    <row r="89" spans="1:19" x14ac:dyDescent="0.25">
      <c r="A89" t="s">
        <v>25</v>
      </c>
      <c r="M89" t="s">
        <v>26</v>
      </c>
    </row>
    <row r="90" spans="1:19" x14ac:dyDescent="0.25">
      <c r="A90" t="s">
        <v>40</v>
      </c>
      <c r="B90" t="s">
        <v>39</v>
      </c>
      <c r="C90" t="s">
        <v>2</v>
      </c>
      <c r="D90" t="s">
        <v>4</v>
      </c>
      <c r="F90" s="1" t="s">
        <v>37</v>
      </c>
      <c r="G90" t="s">
        <v>14</v>
      </c>
      <c r="M90" t="s">
        <v>40</v>
      </c>
      <c r="N90" t="s">
        <v>39</v>
      </c>
      <c r="O90" t="s">
        <v>1</v>
      </c>
      <c r="P90" t="s">
        <v>3</v>
      </c>
      <c r="R90" s="1" t="s">
        <v>37</v>
      </c>
      <c r="S90" t="s">
        <v>13</v>
      </c>
    </row>
    <row r="91" spans="1:19" x14ac:dyDescent="0.25">
      <c r="A91">
        <v>400</v>
      </c>
      <c r="B91" s="2">
        <f t="shared" ref="B91:B96" si="66">A91/100</f>
        <v>4</v>
      </c>
      <c r="C91">
        <v>0.63400000000000001</v>
      </c>
      <c r="D91">
        <v>0.14399999999999999</v>
      </c>
      <c r="E91">
        <f t="shared" ref="E91:E96" si="67">(C91-D91)/G91</f>
        <v>0.52575107296137336</v>
      </c>
      <c r="F91" s="4">
        <f t="shared" ref="F91:F96" si="68">1-E91</f>
        <v>0.47424892703862664</v>
      </c>
      <c r="G91">
        <v>0.93200000000000005</v>
      </c>
      <c r="M91">
        <v>200</v>
      </c>
      <c r="N91" s="2">
        <f t="shared" ref="N91:N96" si="69">M91/100</f>
        <v>2</v>
      </c>
      <c r="O91">
        <v>0.55400000000000005</v>
      </c>
      <c r="P91">
        <v>1.0999999999999999E-2</v>
      </c>
      <c r="Q91">
        <f t="shared" ref="Q91:Q96" si="70">(O91-P91)/S91</f>
        <v>0.82648401826484019</v>
      </c>
      <c r="R91" s="1">
        <f t="shared" ref="R91:R96" si="71">1-Q91</f>
        <v>0.17351598173515981</v>
      </c>
      <c r="S91">
        <v>0.65700000000000003</v>
      </c>
    </row>
    <row r="92" spans="1:19" x14ac:dyDescent="0.25">
      <c r="A92">
        <v>450</v>
      </c>
      <c r="B92" s="2">
        <f t="shared" si="66"/>
        <v>4.5</v>
      </c>
      <c r="C92">
        <v>0.61099999999999999</v>
      </c>
      <c r="D92">
        <v>0.156</v>
      </c>
      <c r="E92">
        <f t="shared" si="67"/>
        <v>0.48819742489270379</v>
      </c>
      <c r="F92" s="4">
        <f t="shared" si="68"/>
        <v>0.51180257510729621</v>
      </c>
      <c r="G92">
        <v>0.93200000000000005</v>
      </c>
      <c r="M92">
        <v>300</v>
      </c>
      <c r="N92" s="2">
        <f t="shared" si="69"/>
        <v>3</v>
      </c>
      <c r="O92">
        <v>0.52500000000000002</v>
      </c>
      <c r="P92">
        <v>2.8000000000000001E-2</v>
      </c>
      <c r="Q92">
        <f t="shared" si="70"/>
        <v>0.75646879756468799</v>
      </c>
      <c r="R92" s="1">
        <f t="shared" si="71"/>
        <v>0.24353120243531201</v>
      </c>
      <c r="S92">
        <v>0.65700000000000003</v>
      </c>
    </row>
    <row r="93" spans="1:19" x14ac:dyDescent="0.25">
      <c r="A93">
        <v>500</v>
      </c>
      <c r="B93" s="2">
        <f t="shared" si="66"/>
        <v>5</v>
      </c>
      <c r="C93">
        <v>0.60599999999999998</v>
      </c>
      <c r="D93">
        <v>0.17</v>
      </c>
      <c r="E93">
        <f t="shared" si="67"/>
        <v>0.46781115879828317</v>
      </c>
      <c r="F93" s="4">
        <f t="shared" si="68"/>
        <v>0.53218884120171683</v>
      </c>
      <c r="G93">
        <v>0.93200000000000005</v>
      </c>
      <c r="M93">
        <v>400</v>
      </c>
      <c r="N93" s="2">
        <f t="shared" si="69"/>
        <v>4</v>
      </c>
      <c r="O93">
        <v>0.48099999999999998</v>
      </c>
      <c r="P93">
        <v>5.8999999999999997E-2</v>
      </c>
      <c r="Q93">
        <f t="shared" si="70"/>
        <v>0.64231354642313543</v>
      </c>
      <c r="R93" s="1">
        <f t="shared" si="71"/>
        <v>0.35768645357686457</v>
      </c>
      <c r="S93">
        <v>0.65700000000000003</v>
      </c>
    </row>
    <row r="94" spans="1:19" x14ac:dyDescent="0.25">
      <c r="A94">
        <v>550</v>
      </c>
      <c r="B94" s="2">
        <f t="shared" si="66"/>
        <v>5.5</v>
      </c>
      <c r="C94">
        <v>0.58599999999999997</v>
      </c>
      <c r="D94">
        <v>0.185</v>
      </c>
      <c r="E94">
        <f t="shared" si="67"/>
        <v>0.43025751072961366</v>
      </c>
      <c r="F94" s="4">
        <f t="shared" si="68"/>
        <v>0.5697424892703864</v>
      </c>
      <c r="G94">
        <v>0.93200000000000005</v>
      </c>
      <c r="M94">
        <v>500</v>
      </c>
      <c r="N94" s="2">
        <f t="shared" si="69"/>
        <v>5</v>
      </c>
      <c r="O94">
        <v>0.45800000000000002</v>
      </c>
      <c r="P94">
        <v>0.08</v>
      </c>
      <c r="Q94">
        <f t="shared" si="70"/>
        <v>0.57534246575342463</v>
      </c>
      <c r="R94" s="1">
        <f t="shared" si="71"/>
        <v>0.42465753424657537</v>
      </c>
      <c r="S94">
        <v>0.65700000000000003</v>
      </c>
    </row>
    <row r="95" spans="1:19" x14ac:dyDescent="0.25">
      <c r="A95">
        <v>600</v>
      </c>
      <c r="B95" s="2">
        <f t="shared" si="66"/>
        <v>6</v>
      </c>
      <c r="C95">
        <v>0.56499999999999995</v>
      </c>
      <c r="D95">
        <v>0.20200000000000001</v>
      </c>
      <c r="E95">
        <f t="shared" si="67"/>
        <v>0.38948497854077246</v>
      </c>
      <c r="F95" s="4">
        <f t="shared" si="68"/>
        <v>0.61051502145922754</v>
      </c>
      <c r="G95">
        <v>0.93200000000000005</v>
      </c>
      <c r="M95">
        <v>600</v>
      </c>
      <c r="N95" s="2">
        <f t="shared" si="69"/>
        <v>6</v>
      </c>
      <c r="O95">
        <v>0.41599999999999998</v>
      </c>
      <c r="P95">
        <v>0.10299999999999999</v>
      </c>
      <c r="Q95">
        <f t="shared" si="70"/>
        <v>0.47640791476407912</v>
      </c>
      <c r="R95" s="1">
        <f t="shared" si="71"/>
        <v>0.52359208523592082</v>
      </c>
      <c r="S95">
        <v>0.65700000000000003</v>
      </c>
    </row>
    <row r="96" spans="1:19" x14ac:dyDescent="0.25">
      <c r="A96">
        <v>650</v>
      </c>
      <c r="B96" s="2">
        <f t="shared" si="66"/>
        <v>6.5</v>
      </c>
      <c r="C96">
        <v>0.52400000000000002</v>
      </c>
      <c r="D96">
        <v>0.215</v>
      </c>
      <c r="E96">
        <f t="shared" si="67"/>
        <v>0.33154506437768244</v>
      </c>
      <c r="F96" s="4">
        <f t="shared" si="68"/>
        <v>0.6684549356223175</v>
      </c>
      <c r="G96">
        <v>0.93200000000000005</v>
      </c>
      <c r="M96">
        <v>700</v>
      </c>
      <c r="N96" s="2">
        <f t="shared" si="69"/>
        <v>7</v>
      </c>
      <c r="O96">
        <v>0.39500000000000002</v>
      </c>
      <c r="P96">
        <v>0.12</v>
      </c>
      <c r="Q96">
        <f t="shared" si="70"/>
        <v>0.41856925418569257</v>
      </c>
      <c r="R96" s="1">
        <f t="shared" si="71"/>
        <v>0.58143074581430743</v>
      </c>
      <c r="S96">
        <v>0.65700000000000003</v>
      </c>
    </row>
    <row r="97" spans="1:25" x14ac:dyDescent="0.25">
      <c r="A97" t="s">
        <v>27</v>
      </c>
      <c r="M97" t="s">
        <v>29</v>
      </c>
    </row>
    <row r="98" spans="1:25" x14ac:dyDescent="0.25">
      <c r="A98" t="s">
        <v>40</v>
      </c>
      <c r="B98" t="s">
        <v>39</v>
      </c>
      <c r="C98" t="s">
        <v>1</v>
      </c>
      <c r="D98" t="s">
        <v>3</v>
      </c>
      <c r="F98" s="1" t="s">
        <v>37</v>
      </c>
      <c r="G98" t="s">
        <v>13</v>
      </c>
      <c r="M98" t="s">
        <v>40</v>
      </c>
      <c r="N98" t="s">
        <v>39</v>
      </c>
      <c r="O98" t="s">
        <v>1</v>
      </c>
      <c r="P98" t="s">
        <v>3</v>
      </c>
      <c r="R98" s="1" t="s">
        <v>37</v>
      </c>
      <c r="S98" t="s">
        <v>13</v>
      </c>
    </row>
    <row r="99" spans="1:25" x14ac:dyDescent="0.25">
      <c r="A99">
        <v>200</v>
      </c>
      <c r="B99" s="2">
        <f t="shared" ref="B99:B104" si="72">A99/100</f>
        <v>2</v>
      </c>
      <c r="C99">
        <v>0.70899999999999996</v>
      </c>
      <c r="D99">
        <v>5.8000000000000003E-2</v>
      </c>
      <c r="E99">
        <f t="shared" ref="E99:E104" si="73">(C99-D99)/G99</f>
        <v>0.79004854368932032</v>
      </c>
      <c r="F99" s="1">
        <f t="shared" ref="F99:F104" si="74">1-E99</f>
        <v>0.20995145631067968</v>
      </c>
      <c r="G99">
        <v>0.82399999999999995</v>
      </c>
      <c r="M99">
        <v>200</v>
      </c>
      <c r="N99" s="2">
        <f t="shared" ref="N99:N104" si="75">M99/100</f>
        <v>2</v>
      </c>
      <c r="O99">
        <v>0.66400000000000003</v>
      </c>
      <c r="P99">
        <v>4.4999999999999998E-2</v>
      </c>
      <c r="Q99">
        <f t="shared" ref="Q99:Q104" si="76">(O99-P99)/S99</f>
        <v>0.84910836762688613</v>
      </c>
      <c r="R99" s="1">
        <f t="shared" ref="R99:R104" si="77">1-Q99</f>
        <v>0.15089163237311387</v>
      </c>
      <c r="S99">
        <v>0.72899999999999998</v>
      </c>
    </row>
    <row r="100" spans="1:25" x14ac:dyDescent="0.25">
      <c r="A100">
        <v>300</v>
      </c>
      <c r="B100" s="2">
        <f t="shared" si="72"/>
        <v>3</v>
      </c>
      <c r="C100">
        <v>0.67400000000000004</v>
      </c>
      <c r="D100">
        <v>0.115</v>
      </c>
      <c r="E100">
        <f t="shared" si="73"/>
        <v>0.67839805825242727</v>
      </c>
      <c r="F100" s="1">
        <f t="shared" si="74"/>
        <v>0.32160194174757273</v>
      </c>
      <c r="G100">
        <v>0.82399999999999995</v>
      </c>
      <c r="M100">
        <v>300</v>
      </c>
      <c r="N100" s="2">
        <f t="shared" si="75"/>
        <v>3</v>
      </c>
      <c r="O100">
        <v>0.58699999999999997</v>
      </c>
      <c r="P100">
        <v>0.03</v>
      </c>
      <c r="Q100">
        <f t="shared" si="76"/>
        <v>0.76406035665294914</v>
      </c>
      <c r="R100" s="1">
        <f t="shared" si="77"/>
        <v>0.23593964334705086</v>
      </c>
      <c r="S100">
        <v>0.72899999999999998</v>
      </c>
    </row>
    <row r="101" spans="1:25" x14ac:dyDescent="0.25">
      <c r="A101">
        <v>400</v>
      </c>
      <c r="B101" s="2">
        <f t="shared" si="72"/>
        <v>4</v>
      </c>
      <c r="C101">
        <v>0.62</v>
      </c>
      <c r="D101">
        <v>0.13700000000000001</v>
      </c>
      <c r="E101">
        <f t="shared" si="73"/>
        <v>0.58616504854368934</v>
      </c>
      <c r="F101" s="1">
        <f t="shared" si="74"/>
        <v>0.41383495145631066</v>
      </c>
      <c r="G101">
        <v>0.82399999999999995</v>
      </c>
      <c r="M101">
        <v>400</v>
      </c>
      <c r="N101" s="2">
        <f t="shared" si="75"/>
        <v>4</v>
      </c>
      <c r="O101">
        <v>0.58599999999999997</v>
      </c>
      <c r="P101">
        <v>8.3000000000000004E-2</v>
      </c>
      <c r="Q101">
        <f t="shared" si="76"/>
        <v>0.68998628257887518</v>
      </c>
      <c r="R101" s="1">
        <f t="shared" si="77"/>
        <v>0.31001371742112482</v>
      </c>
      <c r="S101">
        <v>0.72899999999999998</v>
      </c>
    </row>
    <row r="102" spans="1:25" x14ac:dyDescent="0.25">
      <c r="A102">
        <v>500</v>
      </c>
      <c r="B102" s="2">
        <f t="shared" si="72"/>
        <v>5</v>
      </c>
      <c r="C102">
        <v>0.59</v>
      </c>
      <c r="D102">
        <v>0.13700000000000001</v>
      </c>
      <c r="E102">
        <f t="shared" si="73"/>
        <v>0.54975728155339809</v>
      </c>
      <c r="F102" s="1">
        <f t="shared" si="74"/>
        <v>0.45024271844660191</v>
      </c>
      <c r="G102">
        <v>0.82399999999999995</v>
      </c>
      <c r="M102">
        <v>500</v>
      </c>
      <c r="N102" s="2">
        <f t="shared" si="75"/>
        <v>5</v>
      </c>
      <c r="O102">
        <v>0.54100000000000004</v>
      </c>
      <c r="P102">
        <v>0.107</v>
      </c>
      <c r="Q102">
        <f t="shared" si="76"/>
        <v>0.5953360768175584</v>
      </c>
      <c r="R102" s="1">
        <f t="shared" si="77"/>
        <v>0.4046639231824416</v>
      </c>
      <c r="S102">
        <v>0.72899999999999998</v>
      </c>
    </row>
    <row r="103" spans="1:25" x14ac:dyDescent="0.25">
      <c r="A103">
        <v>600</v>
      </c>
      <c r="B103" s="2">
        <f t="shared" si="72"/>
        <v>6</v>
      </c>
      <c r="C103">
        <v>0.56000000000000005</v>
      </c>
      <c r="D103">
        <v>0.16800000000000001</v>
      </c>
      <c r="E103">
        <f t="shared" si="73"/>
        <v>0.47572815533980589</v>
      </c>
      <c r="F103" s="1">
        <f t="shared" si="74"/>
        <v>0.52427184466019416</v>
      </c>
      <c r="G103">
        <v>0.82399999999999995</v>
      </c>
      <c r="M103">
        <v>600</v>
      </c>
      <c r="N103" s="2">
        <f t="shared" si="75"/>
        <v>6</v>
      </c>
      <c r="O103">
        <v>0.47899999999999998</v>
      </c>
      <c r="P103">
        <v>0.127</v>
      </c>
      <c r="Q103">
        <f t="shared" si="76"/>
        <v>0.48285322359396432</v>
      </c>
      <c r="R103" s="1">
        <f t="shared" si="77"/>
        <v>0.51714677640603568</v>
      </c>
      <c r="S103">
        <v>0.72899999999999998</v>
      </c>
      <c r="Y103" t="s">
        <v>36</v>
      </c>
    </row>
    <row r="104" spans="1:25" x14ac:dyDescent="0.25">
      <c r="A104">
        <v>700</v>
      </c>
      <c r="B104" s="2">
        <f t="shared" si="72"/>
        <v>7</v>
      </c>
      <c r="C104">
        <v>0.52800000000000002</v>
      </c>
      <c r="D104">
        <v>0.185</v>
      </c>
      <c r="E104">
        <f t="shared" si="73"/>
        <v>0.41626213592233013</v>
      </c>
      <c r="F104" s="1">
        <f t="shared" si="74"/>
        <v>0.58373786407766981</v>
      </c>
      <c r="G104">
        <v>0.82399999999999995</v>
      </c>
      <c r="M104">
        <v>700</v>
      </c>
      <c r="N104" s="2">
        <f t="shared" si="75"/>
        <v>7</v>
      </c>
      <c r="O104">
        <v>0.45100000000000001</v>
      </c>
      <c r="P104">
        <v>0.14099999999999999</v>
      </c>
      <c r="Q104">
        <f t="shared" si="76"/>
        <v>0.42524005486968458</v>
      </c>
      <c r="R104" s="1">
        <f t="shared" si="77"/>
        <v>0.57475994513031536</v>
      </c>
      <c r="S104">
        <v>0.72899999999999998</v>
      </c>
    </row>
    <row r="105" spans="1:25" x14ac:dyDescent="0.25">
      <c r="A105" t="s">
        <v>30</v>
      </c>
      <c r="M105" t="s">
        <v>31</v>
      </c>
    </row>
    <row r="106" spans="1:25" x14ac:dyDescent="0.25">
      <c r="A106" t="s">
        <v>40</v>
      </c>
      <c r="B106" t="s">
        <v>39</v>
      </c>
      <c r="C106" t="s">
        <v>1</v>
      </c>
      <c r="D106" t="s">
        <v>3</v>
      </c>
      <c r="F106" s="1" t="s">
        <v>37</v>
      </c>
      <c r="G106" t="s">
        <v>13</v>
      </c>
      <c r="M106" t="s">
        <v>40</v>
      </c>
      <c r="N106" t="s">
        <v>39</v>
      </c>
      <c r="O106" t="s">
        <v>2</v>
      </c>
      <c r="P106" t="s">
        <v>4</v>
      </c>
      <c r="R106" s="1" t="s">
        <v>37</v>
      </c>
      <c r="S106" t="s">
        <v>14</v>
      </c>
    </row>
    <row r="107" spans="1:25" x14ac:dyDescent="0.25">
      <c r="A107">
        <v>200</v>
      </c>
      <c r="B107" s="2">
        <f t="shared" ref="B107:B112" si="78">A107/100</f>
        <v>2</v>
      </c>
      <c r="C107">
        <v>0.54600000000000004</v>
      </c>
      <c r="D107">
        <v>0</v>
      </c>
      <c r="E107">
        <f t="shared" ref="E107:E112" si="79">(C107-D107)/G107</f>
        <v>0.85714285714285721</v>
      </c>
      <c r="F107" s="1">
        <f t="shared" ref="F107:F112" si="80">1-E107</f>
        <v>0.14285714285714279</v>
      </c>
      <c r="G107">
        <v>0.63700000000000001</v>
      </c>
      <c r="M107">
        <v>200</v>
      </c>
      <c r="N107" s="2">
        <f t="shared" ref="N107:N112" si="81">M107/100</f>
        <v>2</v>
      </c>
      <c r="O107">
        <v>0.54800000000000004</v>
      </c>
      <c r="P107">
        <v>8.2000000000000003E-2</v>
      </c>
      <c r="Q107">
        <f t="shared" ref="Q107:Q112" si="82">(O107-P107)/S107</f>
        <v>0.63574351978171906</v>
      </c>
      <c r="R107" s="4">
        <f t="shared" ref="R107:R112" si="83">1-Q107</f>
        <v>0.36425648021828094</v>
      </c>
      <c r="S107">
        <v>0.73299999999999998</v>
      </c>
    </row>
    <row r="108" spans="1:25" x14ac:dyDescent="0.25">
      <c r="A108">
        <v>300</v>
      </c>
      <c r="B108" s="2">
        <f t="shared" si="78"/>
        <v>3</v>
      </c>
      <c r="C108">
        <v>0.499</v>
      </c>
      <c r="D108">
        <v>1.9E-2</v>
      </c>
      <c r="E108">
        <f t="shared" si="79"/>
        <v>0.75353218210361061</v>
      </c>
      <c r="F108" s="1">
        <f t="shared" si="80"/>
        <v>0.24646781789638939</v>
      </c>
      <c r="G108">
        <v>0.63700000000000001</v>
      </c>
      <c r="M108">
        <v>300</v>
      </c>
      <c r="N108" s="2">
        <f t="shared" si="81"/>
        <v>3</v>
      </c>
      <c r="O108">
        <v>0.47899999999999998</v>
      </c>
      <c r="P108">
        <v>0.115</v>
      </c>
      <c r="Q108">
        <f t="shared" si="82"/>
        <v>0.49658935879945432</v>
      </c>
      <c r="R108" s="4">
        <f t="shared" si="83"/>
        <v>0.50341064120054568</v>
      </c>
      <c r="S108">
        <v>0.73299999999999998</v>
      </c>
    </row>
    <row r="109" spans="1:25" x14ac:dyDescent="0.25">
      <c r="A109">
        <v>400</v>
      </c>
      <c r="B109" s="2">
        <f t="shared" si="78"/>
        <v>4</v>
      </c>
      <c r="C109">
        <v>0.46300000000000002</v>
      </c>
      <c r="D109">
        <v>0.04</v>
      </c>
      <c r="E109">
        <f t="shared" si="79"/>
        <v>0.66405023547880693</v>
      </c>
      <c r="F109" s="1">
        <f t="shared" si="80"/>
        <v>0.33594976452119307</v>
      </c>
      <c r="G109">
        <v>0.63700000000000001</v>
      </c>
      <c r="M109">
        <v>400</v>
      </c>
      <c r="N109" s="2">
        <f t="shared" si="81"/>
        <v>4</v>
      </c>
      <c r="O109">
        <v>0.436</v>
      </c>
      <c r="P109">
        <v>0.13600000000000001</v>
      </c>
      <c r="Q109">
        <f t="shared" si="82"/>
        <v>0.40927694406548432</v>
      </c>
      <c r="R109" s="4">
        <f t="shared" si="83"/>
        <v>0.59072305593451568</v>
      </c>
      <c r="S109">
        <v>0.73299999999999998</v>
      </c>
    </row>
    <row r="110" spans="1:25" x14ac:dyDescent="0.25">
      <c r="A110">
        <v>500</v>
      </c>
      <c r="B110" s="2">
        <f t="shared" si="78"/>
        <v>5</v>
      </c>
      <c r="C110">
        <v>0.42899999999999999</v>
      </c>
      <c r="D110">
        <v>6.2E-2</v>
      </c>
      <c r="E110">
        <f t="shared" si="79"/>
        <v>0.57613814756671899</v>
      </c>
      <c r="F110" s="1">
        <f t="shared" si="80"/>
        <v>0.42386185243328101</v>
      </c>
      <c r="G110">
        <v>0.63700000000000001</v>
      </c>
      <c r="M110">
        <v>500</v>
      </c>
      <c r="N110" s="2">
        <f t="shared" si="81"/>
        <v>5</v>
      </c>
      <c r="O110">
        <v>0.432</v>
      </c>
      <c r="P110">
        <v>0.17</v>
      </c>
      <c r="Q110">
        <f t="shared" si="82"/>
        <v>0.35743519781718963</v>
      </c>
      <c r="R110" s="4">
        <f t="shared" si="83"/>
        <v>0.64256480218281031</v>
      </c>
      <c r="S110">
        <v>0.73299999999999998</v>
      </c>
    </row>
    <row r="111" spans="1:25" x14ac:dyDescent="0.25">
      <c r="A111">
        <v>600</v>
      </c>
      <c r="B111" s="2">
        <f t="shared" si="78"/>
        <v>6</v>
      </c>
      <c r="C111">
        <v>0.35899999999999999</v>
      </c>
      <c r="D111">
        <v>8.1000000000000003E-2</v>
      </c>
      <c r="E111">
        <f t="shared" si="79"/>
        <v>0.43642072213500782</v>
      </c>
      <c r="F111" s="1">
        <f t="shared" si="80"/>
        <v>0.56357927786499218</v>
      </c>
      <c r="G111">
        <v>0.63700000000000001</v>
      </c>
      <c r="M111">
        <v>600</v>
      </c>
      <c r="N111" s="2">
        <f t="shared" si="81"/>
        <v>6</v>
      </c>
      <c r="O111">
        <v>0.40799999999999997</v>
      </c>
      <c r="P111">
        <v>0.193</v>
      </c>
      <c r="Q111">
        <f t="shared" si="82"/>
        <v>0.29331514324693037</v>
      </c>
      <c r="R111" s="4">
        <f t="shared" si="83"/>
        <v>0.70668485675306969</v>
      </c>
      <c r="S111">
        <v>0.73299999999999998</v>
      </c>
    </row>
    <row r="112" spans="1:25" x14ac:dyDescent="0.25">
      <c r="A112">
        <v>700</v>
      </c>
      <c r="B112" s="2">
        <f t="shared" si="78"/>
        <v>7</v>
      </c>
      <c r="C112">
        <v>0.34799999999999998</v>
      </c>
      <c r="D112">
        <v>9.2999999999999999E-2</v>
      </c>
      <c r="E112">
        <f t="shared" si="79"/>
        <v>0.40031397174254318</v>
      </c>
      <c r="F112" s="1">
        <f t="shared" si="80"/>
        <v>0.59968602825745676</v>
      </c>
      <c r="G112">
        <v>0.63700000000000001</v>
      </c>
      <c r="M112">
        <v>700</v>
      </c>
      <c r="N112" s="2">
        <f t="shared" si="81"/>
        <v>7</v>
      </c>
      <c r="O112">
        <v>0.40500000000000003</v>
      </c>
      <c r="P112">
        <v>0.22600000000000001</v>
      </c>
      <c r="Q112">
        <f t="shared" si="82"/>
        <v>0.24420190995907234</v>
      </c>
      <c r="R112" s="4">
        <f t="shared" si="83"/>
        <v>0.75579809004092768</v>
      </c>
      <c r="S112">
        <v>0.73299999999999998</v>
      </c>
    </row>
    <row r="113" spans="1:19" x14ac:dyDescent="0.25">
      <c r="A113" t="s">
        <v>32</v>
      </c>
      <c r="M113" t="s">
        <v>33</v>
      </c>
    </row>
    <row r="114" spans="1:19" x14ac:dyDescent="0.25">
      <c r="A114" t="s">
        <v>40</v>
      </c>
      <c r="B114" t="s">
        <v>39</v>
      </c>
      <c r="C114" t="s">
        <v>1</v>
      </c>
      <c r="D114" t="s">
        <v>3</v>
      </c>
      <c r="F114" s="1" t="s">
        <v>37</v>
      </c>
      <c r="G114" t="s">
        <v>13</v>
      </c>
      <c r="M114" t="s">
        <v>40</v>
      </c>
      <c r="N114" t="s">
        <v>39</v>
      </c>
      <c r="O114" t="s">
        <v>2</v>
      </c>
      <c r="P114" t="s">
        <v>4</v>
      </c>
      <c r="R114" s="1" t="s">
        <v>37</v>
      </c>
      <c r="S114" t="s">
        <v>14</v>
      </c>
    </row>
    <row r="115" spans="1:19" x14ac:dyDescent="0.25">
      <c r="A115">
        <v>200</v>
      </c>
      <c r="B115" s="2">
        <f t="shared" ref="B115:B120" si="84">A115/100</f>
        <v>2</v>
      </c>
      <c r="C115">
        <v>0.64100000000000001</v>
      </c>
      <c r="D115">
        <v>0.13600000000000001</v>
      </c>
      <c r="E115">
        <f t="shared" ref="E115:E120" si="85">(C115-D115)/G115</f>
        <v>0.55372807017543857</v>
      </c>
      <c r="F115" s="1">
        <f t="shared" ref="F115:F120" si="86">1-E115</f>
        <v>0.44627192982456143</v>
      </c>
      <c r="G115">
        <v>0.91200000000000003</v>
      </c>
      <c r="M115">
        <v>200</v>
      </c>
      <c r="N115" s="2">
        <f t="shared" ref="N115:N120" si="87">M115/100</f>
        <v>2</v>
      </c>
      <c r="O115">
        <v>0.61599999999999999</v>
      </c>
      <c r="P115">
        <v>0.151</v>
      </c>
      <c r="Q115">
        <f t="shared" ref="Q115:Q120" si="88">(O115-P115)/S115</f>
        <v>0.52721088435374142</v>
      </c>
      <c r="R115" s="4">
        <f t="shared" ref="R115:R120" si="89">1-Q115</f>
        <v>0.47278911564625858</v>
      </c>
      <c r="S115">
        <v>0.88200000000000001</v>
      </c>
    </row>
    <row r="116" spans="1:19" x14ac:dyDescent="0.25">
      <c r="A116">
        <v>300</v>
      </c>
      <c r="B116" s="2">
        <f t="shared" si="84"/>
        <v>3</v>
      </c>
      <c r="C116">
        <v>0.60199999999999998</v>
      </c>
      <c r="D116">
        <v>0.16800000000000001</v>
      </c>
      <c r="E116">
        <f t="shared" si="85"/>
        <v>0.47587719298245607</v>
      </c>
      <c r="F116" s="1">
        <f t="shared" si="86"/>
        <v>0.52412280701754388</v>
      </c>
      <c r="G116">
        <v>0.91200000000000003</v>
      </c>
      <c r="M116">
        <v>300</v>
      </c>
      <c r="N116" s="2">
        <f t="shared" si="87"/>
        <v>3</v>
      </c>
      <c r="O116">
        <v>0.56299999999999994</v>
      </c>
      <c r="P116">
        <v>0.17899999999999999</v>
      </c>
      <c r="Q116">
        <f t="shared" si="88"/>
        <v>0.43537414965986387</v>
      </c>
      <c r="R116" s="4">
        <f t="shared" si="89"/>
        <v>0.56462585034013613</v>
      </c>
      <c r="S116">
        <v>0.88200000000000001</v>
      </c>
    </row>
    <row r="117" spans="1:19" x14ac:dyDescent="0.25">
      <c r="A117">
        <v>400</v>
      </c>
      <c r="B117" s="2">
        <f t="shared" si="84"/>
        <v>4</v>
      </c>
      <c r="C117">
        <v>0.57799999999999996</v>
      </c>
      <c r="D117">
        <v>0.188</v>
      </c>
      <c r="E117">
        <f t="shared" si="85"/>
        <v>0.42763157894736836</v>
      </c>
      <c r="F117" s="1">
        <f t="shared" si="86"/>
        <v>0.57236842105263164</v>
      </c>
      <c r="G117">
        <v>0.91200000000000003</v>
      </c>
      <c r="M117">
        <v>400</v>
      </c>
      <c r="N117" s="2">
        <f t="shared" si="87"/>
        <v>4</v>
      </c>
      <c r="O117">
        <v>0.55200000000000005</v>
      </c>
      <c r="P117">
        <v>0.20399999999999999</v>
      </c>
      <c r="Q117">
        <f t="shared" si="88"/>
        <v>0.39455782312925181</v>
      </c>
      <c r="R117" s="4">
        <f t="shared" si="89"/>
        <v>0.60544217687074819</v>
      </c>
      <c r="S117">
        <v>0.88200000000000001</v>
      </c>
    </row>
    <row r="118" spans="1:19" x14ac:dyDescent="0.25">
      <c r="A118">
        <v>500</v>
      </c>
      <c r="B118" s="2">
        <f t="shared" si="84"/>
        <v>5</v>
      </c>
      <c r="C118">
        <v>0.54800000000000004</v>
      </c>
      <c r="D118">
        <v>0.219</v>
      </c>
      <c r="E118">
        <f t="shared" si="85"/>
        <v>0.36074561403508776</v>
      </c>
      <c r="F118" s="1">
        <f t="shared" si="86"/>
        <v>0.63925438596491224</v>
      </c>
      <c r="G118">
        <v>0.91200000000000003</v>
      </c>
      <c r="M118">
        <v>500</v>
      </c>
      <c r="N118" s="2">
        <f t="shared" si="87"/>
        <v>5</v>
      </c>
      <c r="O118">
        <v>0.53200000000000003</v>
      </c>
      <c r="P118">
        <v>0.26300000000000001</v>
      </c>
      <c r="Q118">
        <f t="shared" si="88"/>
        <v>0.30498866213151932</v>
      </c>
      <c r="R118" s="4">
        <f t="shared" si="89"/>
        <v>0.69501133786848068</v>
      </c>
      <c r="S118">
        <v>0.88200000000000001</v>
      </c>
    </row>
    <row r="119" spans="1:19" x14ac:dyDescent="0.25">
      <c r="A119">
        <v>600</v>
      </c>
      <c r="B119" s="2">
        <f t="shared" si="84"/>
        <v>6</v>
      </c>
      <c r="C119">
        <v>0.53400000000000003</v>
      </c>
      <c r="D119">
        <v>0.252</v>
      </c>
      <c r="E119">
        <f t="shared" si="85"/>
        <v>0.30921052631578949</v>
      </c>
      <c r="F119" s="1">
        <f t="shared" si="86"/>
        <v>0.69078947368421051</v>
      </c>
      <c r="G119">
        <v>0.91200000000000003</v>
      </c>
      <c r="M119">
        <v>600</v>
      </c>
      <c r="N119" s="2">
        <f t="shared" si="87"/>
        <v>6</v>
      </c>
      <c r="O119">
        <v>0.54400000000000004</v>
      </c>
      <c r="P119">
        <v>0.26600000000000001</v>
      </c>
      <c r="Q119">
        <f t="shared" si="88"/>
        <v>0.31519274376417233</v>
      </c>
      <c r="R119" s="4">
        <f t="shared" si="89"/>
        <v>0.68480725623582761</v>
      </c>
      <c r="S119">
        <v>0.88200000000000001</v>
      </c>
    </row>
    <row r="120" spans="1:19" x14ac:dyDescent="0.25">
      <c r="A120">
        <v>700</v>
      </c>
      <c r="B120" s="2">
        <f t="shared" si="84"/>
        <v>7</v>
      </c>
      <c r="C120">
        <v>0.51500000000000001</v>
      </c>
      <c r="D120">
        <v>0.26900000000000002</v>
      </c>
      <c r="E120">
        <f t="shared" si="85"/>
        <v>0.26973684210526316</v>
      </c>
      <c r="F120" s="1">
        <f t="shared" si="86"/>
        <v>0.73026315789473684</v>
      </c>
      <c r="G120">
        <v>0.91200000000000003</v>
      </c>
      <c r="M120">
        <v>700</v>
      </c>
      <c r="N120" s="2">
        <f t="shared" si="87"/>
        <v>7</v>
      </c>
      <c r="O120">
        <v>0.48299999999999998</v>
      </c>
      <c r="P120">
        <v>0.28199999999999997</v>
      </c>
      <c r="Q120">
        <f t="shared" si="88"/>
        <v>0.22789115646258504</v>
      </c>
      <c r="R120" s="4">
        <f t="shared" si="89"/>
        <v>0.77210884353741494</v>
      </c>
      <c r="S120">
        <v>0.88200000000000001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王佳敏</dc:creator>
  <cp:lastModifiedBy>佳敏 王</cp:lastModifiedBy>
  <dcterms:created xsi:type="dcterms:W3CDTF">2015-06-05T10:19:34Z</dcterms:created>
  <dcterms:modified xsi:type="dcterms:W3CDTF">2025-11-24T18:42:54Z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29ec9916e01648dc9fd5261950855937_22</vt:lpwstr>
  </property>
</Properties>
</file>